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onrodriguez/Downloads/Montse/PRACTICUM_I/"/>
    </mc:Choice>
  </mc:AlternateContent>
  <xr:revisionPtr revIDLastSave="0" documentId="13_ncr:1_{58802BB1-55CE-2B43-A80B-B5CCDD193A49}" xr6:coauthVersionLast="47" xr6:coauthVersionMax="47" xr10:uidLastSave="{00000000-0000-0000-0000-000000000000}"/>
  <bookViews>
    <workbookView xWindow="4420" yWindow="660" windowWidth="24980" windowHeight="17020" activeTab="1" xr2:uid="{00000000-000D-0000-FFFF-FFFF00000000}"/>
  </bookViews>
  <sheets>
    <sheet name="CONTROL" sheetId="2" r:id="rId1"/>
    <sheet name="CONCENTRADO" sheetId="5" r:id="rId2"/>
  </sheets>
  <definedNames>
    <definedName name="_xlnm._FilterDatabase" localSheetId="1" hidden="1">CONCENTRADO!$B$1:$R$96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ns+dF5B6TpcUUTBOsuIzm1FY392fFFYmWx3i6dWW+g="/>
    </ext>
  </extLst>
</workbook>
</file>

<file path=xl/calcChain.xml><?xml version="1.0" encoding="utf-8"?>
<calcChain xmlns="http://schemas.openxmlformats.org/spreadsheetml/2006/main">
  <c r="C2" i="5" l="1"/>
  <c r="D2" i="5" s="1"/>
  <c r="N2" i="5"/>
  <c r="Q2" i="5" a="1"/>
  <c r="Q2" i="5" s="1"/>
  <c r="Q4" i="5" l="1" a="1"/>
  <c r="Q4" i="5" s="1"/>
  <c r="Q5" i="5" a="1"/>
  <c r="Q5" i="5" s="1"/>
  <c r="Q6" i="5" a="1"/>
  <c r="Q6" i="5"/>
  <c r="Q7" i="5" a="1"/>
  <c r="Q7" i="5" s="1"/>
  <c r="Q8" i="5" a="1"/>
  <c r="Q8" i="5" s="1"/>
  <c r="Q9" i="5" a="1"/>
  <c r="Q9" i="5" s="1"/>
  <c r="Q10" i="5" a="1"/>
  <c r="Q10" i="5"/>
  <c r="Q11" i="5" a="1"/>
  <c r="Q11" i="5" s="1"/>
  <c r="Q12" i="5" a="1"/>
  <c r="Q12" i="5" s="1"/>
  <c r="Q13" i="5" a="1"/>
  <c r="Q13" i="5" s="1"/>
  <c r="Q14" i="5" a="1"/>
  <c r="Q14" i="5"/>
  <c r="Q15" i="5" a="1"/>
  <c r="Q15" i="5" s="1"/>
  <c r="Q16" i="5" a="1"/>
  <c r="Q16" i="5" s="1"/>
  <c r="Q17" i="5" a="1"/>
  <c r="Q17" i="5" s="1"/>
  <c r="Q18" i="5" a="1"/>
  <c r="Q18" i="5"/>
  <c r="Q19" i="5" a="1"/>
  <c r="Q19" i="5" s="1"/>
  <c r="Q20" i="5" a="1"/>
  <c r="Q20" i="5" s="1"/>
  <c r="Q21" i="5" a="1"/>
  <c r="Q21" i="5" s="1"/>
  <c r="Q22" i="5" a="1"/>
  <c r="Q22" i="5"/>
  <c r="Q23" i="5" a="1"/>
  <c r="Q23" i="5" s="1"/>
  <c r="Q24" i="5" a="1"/>
  <c r="Q24" i="5" s="1"/>
  <c r="Q25" i="5" a="1"/>
  <c r="Q25" i="5" s="1"/>
  <c r="Q26" i="5" a="1"/>
  <c r="Q26" i="5"/>
  <c r="Q27" i="5" a="1"/>
  <c r="Q27" i="5" s="1"/>
  <c r="Q28" i="5" a="1"/>
  <c r="Q28" i="5" s="1"/>
  <c r="Q29" i="5" a="1"/>
  <c r="Q29" i="5" s="1"/>
  <c r="Q30" i="5" a="1"/>
  <c r="Q30" i="5"/>
  <c r="Q31" i="5" a="1"/>
  <c r="Q31" i="5" s="1"/>
  <c r="Q32" i="5" a="1"/>
  <c r="Q32" i="5" s="1"/>
  <c r="Q33" i="5" a="1"/>
  <c r="Q33" i="5" s="1"/>
  <c r="Q34" i="5" a="1"/>
  <c r="Q34" i="5"/>
  <c r="Q35" i="5" a="1"/>
  <c r="Q35" i="5" s="1"/>
  <c r="Q36" i="5" a="1"/>
  <c r="Q36" i="5" s="1"/>
  <c r="Q37" i="5" a="1"/>
  <c r="Q37" i="5" s="1"/>
  <c r="Q38" i="5" a="1"/>
  <c r="Q38" i="5"/>
  <c r="Q39" i="5" a="1"/>
  <c r="Q39" i="5" s="1"/>
  <c r="Q40" i="5" a="1"/>
  <c r="Q40" i="5" s="1"/>
  <c r="Q41" i="5" a="1"/>
  <c r="Q41" i="5" s="1"/>
  <c r="Q42" i="5" a="1"/>
  <c r="Q42" i="5"/>
  <c r="Q43" i="5" a="1"/>
  <c r="Q43" i="5" s="1"/>
  <c r="Q44" i="5" a="1"/>
  <c r="Q44" i="5" s="1"/>
  <c r="Q45" i="5" a="1"/>
  <c r="Q45" i="5" s="1"/>
  <c r="Q46" i="5" a="1"/>
  <c r="Q46" i="5"/>
  <c r="Q47" i="5" a="1"/>
  <c r="Q47" i="5" s="1"/>
  <c r="Q48" i="5" a="1"/>
  <c r="Q48" i="5" s="1"/>
  <c r="Q49" i="5" a="1"/>
  <c r="Q49" i="5" s="1"/>
  <c r="Q50" i="5" a="1"/>
  <c r="Q50" i="5"/>
  <c r="Q51" i="5" a="1"/>
  <c r="Q51" i="5" s="1"/>
  <c r="Q52" i="5" a="1"/>
  <c r="Q52" i="5" s="1"/>
  <c r="Q53" i="5" a="1"/>
  <c r="Q53" i="5" s="1"/>
  <c r="Q54" i="5" a="1"/>
  <c r="Q54" i="5"/>
  <c r="Q55" i="5" a="1"/>
  <c r="Q55" i="5" s="1"/>
  <c r="Q56" i="5" a="1"/>
  <c r="Q56" i="5" s="1"/>
  <c r="Q57" i="5" a="1"/>
  <c r="Q57" i="5" s="1"/>
  <c r="Q58" i="5" a="1"/>
  <c r="Q58" i="5"/>
  <c r="Q59" i="5" a="1"/>
  <c r="Q59" i="5" s="1"/>
  <c r="Q60" i="5" a="1"/>
  <c r="Q60" i="5" s="1"/>
  <c r="Q61" i="5" a="1"/>
  <c r="Q61" i="5" s="1"/>
  <c r="Q62" i="5" a="1"/>
  <c r="Q62" i="5"/>
  <c r="Q63" i="5" a="1"/>
  <c r="Q63" i="5" s="1"/>
  <c r="Q64" i="5" a="1"/>
  <c r="Q64" i="5" s="1"/>
  <c r="Q65" i="5" a="1"/>
  <c r="Q65" i="5" s="1"/>
  <c r="Q66" i="5" a="1"/>
  <c r="Q66" i="5"/>
  <c r="Q67" i="5" a="1"/>
  <c r="Q67" i="5" s="1"/>
  <c r="Q68" i="5" a="1"/>
  <c r="Q68" i="5" s="1"/>
  <c r="Q69" i="5" a="1"/>
  <c r="Q69" i="5" s="1"/>
  <c r="Q70" i="5" a="1"/>
  <c r="Q70" i="5"/>
  <c r="Q71" i="5" a="1"/>
  <c r="Q71" i="5" s="1"/>
  <c r="Q72" i="5" a="1"/>
  <c r="Q72" i="5" s="1"/>
  <c r="Q73" i="5" a="1"/>
  <c r="Q73" i="5" s="1"/>
  <c r="Q74" i="5" a="1"/>
  <c r="Q74" i="5"/>
  <c r="Q75" i="5" a="1"/>
  <c r="Q75" i="5" s="1"/>
  <c r="Q76" i="5" a="1"/>
  <c r="Q76" i="5" s="1"/>
  <c r="Q77" i="5" a="1"/>
  <c r="Q77" i="5" s="1"/>
  <c r="Q78" i="5" a="1"/>
  <c r="Q78" i="5"/>
  <c r="Q79" i="5" a="1"/>
  <c r="Q79" i="5" s="1"/>
  <c r="Q80" i="5" a="1"/>
  <c r="Q80" i="5" s="1"/>
  <c r="Q81" i="5" a="1"/>
  <c r="Q81" i="5" s="1"/>
  <c r="Q82" i="5" a="1"/>
  <c r="Q82" i="5"/>
  <c r="Q83" i="5" a="1"/>
  <c r="Q83" i="5" s="1"/>
  <c r="Q84" i="5" a="1"/>
  <c r="Q84" i="5" s="1"/>
  <c r="Q85" i="5" a="1"/>
  <c r="Q85" i="5" s="1"/>
  <c r="Q86" i="5" a="1"/>
  <c r="Q86" i="5"/>
  <c r="Q87" i="5" a="1"/>
  <c r="Q87" i="5" s="1"/>
  <c r="Q88" i="5" a="1"/>
  <c r="Q88" i="5" s="1"/>
  <c r="Q89" i="5" a="1"/>
  <c r="Q89" i="5" s="1"/>
  <c r="Q90" i="5" a="1"/>
  <c r="Q90" i="5"/>
  <c r="Q91" i="5" a="1"/>
  <c r="Q91" i="5" s="1"/>
  <c r="Q92" i="5" a="1"/>
  <c r="Q92" i="5" s="1"/>
  <c r="Q93" i="5" a="1"/>
  <c r="Q93" i="5" s="1"/>
  <c r="Q94" i="5" a="1"/>
  <c r="Q94" i="5"/>
  <c r="Q95" i="5" a="1"/>
  <c r="Q95" i="5" s="1"/>
  <c r="Q96" i="5" a="1"/>
  <c r="Q96" i="5" s="1"/>
  <c r="D12" i="2"/>
  <c r="D15" i="2" s="1"/>
  <c r="D14" i="2"/>
  <c r="D13" i="2"/>
  <c r="N27" i="5"/>
  <c r="K6" i="2"/>
  <c r="K5" i="2"/>
  <c r="K4" i="2"/>
  <c r="N4" i="5"/>
  <c r="N42" i="5"/>
  <c r="N43" i="5"/>
  <c r="N44" i="5"/>
  <c r="N47" i="5"/>
  <c r="N48" i="5"/>
  <c r="N51" i="5"/>
  <c r="N53" i="5"/>
  <c r="N12" i="5"/>
  <c r="N49" i="5"/>
  <c r="N7" i="5"/>
  <c r="N8" i="5"/>
  <c r="N77" i="5"/>
  <c r="N17" i="5"/>
  <c r="N18" i="5"/>
  <c r="N19" i="5"/>
  <c r="N20" i="5"/>
  <c r="N6" i="5"/>
  <c r="N45" i="5"/>
  <c r="N23" i="5"/>
  <c r="N24" i="5"/>
  <c r="N13" i="5"/>
  <c r="N54" i="5"/>
  <c r="N28" i="5"/>
  <c r="N29" i="5"/>
  <c r="N30" i="5"/>
  <c r="N31" i="5"/>
  <c r="N50" i="5"/>
  <c r="N72" i="5"/>
  <c r="N11" i="5"/>
  <c r="N16" i="5"/>
  <c r="N34" i="5"/>
  <c r="N37" i="5"/>
  <c r="N25" i="5"/>
  <c r="N39" i="5"/>
  <c r="N40" i="5"/>
  <c r="N90" i="5"/>
  <c r="N26" i="5"/>
  <c r="N32" i="5"/>
  <c r="N66" i="5"/>
  <c r="N67" i="5"/>
  <c r="N14" i="5"/>
  <c r="N33" i="5"/>
  <c r="N68" i="5"/>
  <c r="N9" i="5"/>
  <c r="N35" i="5"/>
  <c r="N36" i="5"/>
  <c r="N52" i="5"/>
  <c r="N91" i="5"/>
  <c r="N15" i="5"/>
  <c r="N55" i="5"/>
  <c r="N56" i="5"/>
  <c r="N57" i="5"/>
  <c r="N58" i="5"/>
  <c r="N59" i="5"/>
  <c r="N60" i="5"/>
  <c r="N61" i="5"/>
  <c r="N62" i="5"/>
  <c r="N63" i="5"/>
  <c r="N64" i="5"/>
  <c r="N65" i="5"/>
  <c r="N3" i="5"/>
  <c r="N10" i="5"/>
  <c r="N46" i="5"/>
  <c r="N69" i="5"/>
  <c r="N70" i="5"/>
  <c r="N71" i="5"/>
  <c r="N22" i="5"/>
  <c r="N73" i="5"/>
  <c r="N74" i="5"/>
  <c r="N75" i="5"/>
  <c r="N76" i="5"/>
  <c r="N5" i="5"/>
  <c r="N78" i="5"/>
  <c r="N79" i="5"/>
  <c r="N80" i="5"/>
  <c r="N81" i="5"/>
  <c r="N82" i="5"/>
  <c r="N83" i="5"/>
  <c r="N84" i="5"/>
  <c r="N85" i="5"/>
  <c r="N86" i="5"/>
  <c r="N87" i="5"/>
  <c r="N88" i="5"/>
  <c r="N89" i="5"/>
  <c r="N21" i="5"/>
  <c r="N41" i="5"/>
  <c r="N92" i="5"/>
  <c r="N93" i="5"/>
  <c r="N94" i="5"/>
  <c r="N95" i="5"/>
  <c r="N96" i="5"/>
  <c r="C17" i="5"/>
  <c r="D17" i="5" s="1"/>
  <c r="C45" i="5"/>
  <c r="D45" i="5" s="1"/>
  <c r="C18" i="5"/>
  <c r="D18" i="5" s="1"/>
  <c r="C58" i="5"/>
  <c r="D58" i="5" s="1"/>
  <c r="C89" i="5"/>
  <c r="D89" i="5" s="1"/>
  <c r="C22" i="5"/>
  <c r="D22" i="5" s="1"/>
  <c r="C76" i="5"/>
  <c r="D76" i="5" s="1"/>
  <c r="C5" i="5"/>
  <c r="D5" i="5" s="1"/>
  <c r="C23" i="5"/>
  <c r="D23" i="5" s="1"/>
  <c r="C8" i="5"/>
  <c r="D8" i="5" s="1"/>
  <c r="C88" i="5"/>
  <c r="D88" i="5" s="1"/>
  <c r="C71" i="5"/>
  <c r="D71" i="5" s="1"/>
  <c r="C46" i="5"/>
  <c r="D46" i="5" s="1"/>
  <c r="C52" i="5"/>
  <c r="D52" i="5" s="1"/>
  <c r="C36" i="5"/>
  <c r="D36" i="5" s="1"/>
  <c r="C61" i="5"/>
  <c r="D61" i="5" s="1"/>
  <c r="C60" i="5"/>
  <c r="D60" i="5" s="1"/>
  <c r="C73" i="5"/>
  <c r="D73" i="5" s="1"/>
  <c r="C14" i="5"/>
  <c r="D14" i="5" s="1"/>
  <c r="C65" i="5"/>
  <c r="D65" i="5" s="1"/>
  <c r="C47" i="5"/>
  <c r="D47" i="5" s="1"/>
  <c r="C48" i="5"/>
  <c r="D48" i="5" s="1"/>
  <c r="C51" i="5"/>
  <c r="D51" i="5" s="1"/>
  <c r="Q3" i="5" a="1"/>
  <c r="Q3" i="5"/>
  <c r="N38" i="5"/>
  <c r="C15" i="5"/>
  <c r="D15" i="5" s="1"/>
  <c r="C54" i="5"/>
  <c r="D54" i="5" s="1"/>
  <c r="C43" i="5"/>
  <c r="D43" i="5" s="1"/>
  <c r="C83" i="5"/>
  <c r="D83" i="5" s="1"/>
  <c r="C92" i="5"/>
  <c r="D92" i="5" s="1"/>
  <c r="C13" i="5"/>
  <c r="D13" i="5" s="1"/>
  <c r="C57" i="5"/>
  <c r="D57" i="5" s="1"/>
  <c r="C37" i="5"/>
  <c r="D37" i="5" s="1"/>
  <c r="C80" i="5"/>
  <c r="D80" i="5" s="1"/>
  <c r="C91" i="5"/>
  <c r="D91" i="5" s="1"/>
  <c r="C34" i="5"/>
  <c r="D34" i="5" s="1"/>
  <c r="C66" i="5"/>
  <c r="D66" i="5" s="1"/>
  <c r="C41" i="5"/>
  <c r="D41" i="5" s="1"/>
  <c r="C38" i="5"/>
  <c r="D38" i="5" s="1"/>
  <c r="C29" i="5"/>
  <c r="D29" i="5" s="1"/>
  <c r="C26" i="5"/>
  <c r="D26" i="5" s="1"/>
  <c r="C75" i="5"/>
  <c r="D75" i="5" s="1"/>
  <c r="C11" i="5"/>
  <c r="D11" i="5" s="1"/>
  <c r="C62" i="5"/>
  <c r="D62" i="5" s="1"/>
  <c r="C53" i="5"/>
  <c r="D53" i="5" s="1"/>
  <c r="C21" i="5"/>
  <c r="D21" i="5" s="1"/>
  <c r="C6" i="5"/>
  <c r="D6" i="5" s="1"/>
  <c r="C49" i="5"/>
  <c r="D49" i="5" s="1"/>
  <c r="C12" i="5"/>
  <c r="D12" i="5" s="1"/>
  <c r="C59" i="5"/>
  <c r="D59" i="5" s="1"/>
  <c r="C24" i="5"/>
  <c r="D24" i="5" s="1"/>
  <c r="C68" i="5"/>
  <c r="D68" i="5" s="1"/>
  <c r="C81" i="5"/>
  <c r="D81" i="5" s="1"/>
  <c r="C74" i="5"/>
  <c r="D74" i="5" s="1"/>
  <c r="C84" i="5"/>
  <c r="D84" i="5" s="1"/>
  <c r="C55" i="5"/>
  <c r="D55" i="5" s="1"/>
  <c r="C30" i="5"/>
  <c r="D30" i="5" s="1"/>
  <c r="C25" i="5"/>
  <c r="D25" i="5" s="1"/>
  <c r="C85" i="5"/>
  <c r="D85" i="5" s="1"/>
  <c r="C72" i="5"/>
  <c r="D72" i="5" s="1"/>
  <c r="C64" i="5"/>
  <c r="D64" i="5" s="1"/>
  <c r="C4" i="5"/>
  <c r="D4" i="5" s="1"/>
  <c r="C19" i="5"/>
  <c r="D19" i="5" s="1"/>
  <c r="C70" i="5"/>
  <c r="D70" i="5" s="1"/>
  <c r="C82" i="5"/>
  <c r="D82" i="5" s="1"/>
  <c r="C86" i="5"/>
  <c r="D86" i="5" s="1"/>
  <c r="C90" i="5"/>
  <c r="D90" i="5" s="1"/>
  <c r="C87" i="5"/>
  <c r="D87" i="5" s="1"/>
  <c r="C95" i="5"/>
  <c r="D95" i="5" s="1"/>
  <c r="C42" i="5"/>
  <c r="D42" i="5" s="1"/>
  <c r="C50" i="5"/>
  <c r="D50" i="5" s="1"/>
  <c r="C39" i="5"/>
  <c r="D39" i="5" s="1"/>
  <c r="C28" i="5"/>
  <c r="D28" i="5" s="1"/>
  <c r="C27" i="5"/>
  <c r="D27" i="5" s="1"/>
  <c r="C63" i="5"/>
  <c r="D63" i="5" s="1"/>
  <c r="C96" i="5"/>
  <c r="D96" i="5" s="1"/>
  <c r="C9" i="5"/>
  <c r="D9" i="5" s="1"/>
  <c r="C32" i="5"/>
  <c r="D32" i="5" s="1"/>
  <c r="C33" i="5"/>
  <c r="D33" i="5" s="1"/>
  <c r="C79" i="5"/>
  <c r="D79" i="5" s="1"/>
  <c r="C20" i="5"/>
  <c r="D20" i="5" s="1"/>
  <c r="C67" i="5"/>
  <c r="D67" i="5" s="1"/>
  <c r="C16" i="5"/>
  <c r="D16" i="5" s="1"/>
  <c r="C3" i="5"/>
  <c r="D3" i="5" s="1"/>
  <c r="C77" i="5"/>
  <c r="D77" i="5" s="1"/>
  <c r="C31" i="5"/>
  <c r="D31" i="5" s="1"/>
  <c r="C93" i="5"/>
  <c r="D93" i="5" s="1"/>
  <c r="C56" i="5"/>
  <c r="D56" i="5" s="1"/>
  <c r="C94" i="5"/>
  <c r="D94" i="5" s="1"/>
  <c r="C7" i="5"/>
  <c r="D7" i="5" s="1"/>
  <c r="C35" i="5"/>
  <c r="D35" i="5" s="1"/>
  <c r="C69" i="5"/>
  <c r="D69" i="5" s="1"/>
  <c r="C40" i="5"/>
  <c r="D40" i="5" s="1"/>
  <c r="C44" i="5"/>
  <c r="D44" i="5" s="1"/>
  <c r="C78" i="5"/>
  <c r="D78" i="5" s="1"/>
  <c r="C10" i="5"/>
  <c r="D10" i="5" s="1"/>
  <c r="E12" i="2" l="1"/>
  <c r="H14" i="2"/>
  <c r="H13" i="2"/>
  <c r="H12" i="2"/>
  <c r="H15" i="2" s="1"/>
  <c r="G14" i="2"/>
  <c r="G13" i="2"/>
  <c r="G12" i="2"/>
  <c r="G15" i="2" s="1"/>
  <c r="E14" i="2"/>
  <c r="F14" i="2" s="1"/>
  <c r="E13" i="2"/>
  <c r="C5" i="2"/>
  <c r="C4" i="2"/>
  <c r="F12" i="2"/>
  <c r="F13" i="2"/>
  <c r="B14" i="2"/>
  <c r="B15" i="2" s="1"/>
  <c r="B13" i="2"/>
  <c r="B12" i="2"/>
  <c r="E15" i="2" l="1"/>
  <c r="F15" i="2" s="1"/>
  <c r="C6" i="2"/>
  <c r="K13" i="2" s="1"/>
  <c r="K11" i="2"/>
  <c r="K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<sst xmlns="http://schemas.openxmlformats.org/spreadsheetml/2006/main" count="41" uniqueCount="38">
  <si>
    <t>NO BORRAR</t>
  </si>
  <si>
    <t>No VENCIDAS</t>
  </si>
  <si>
    <t>SI</t>
  </si>
  <si>
    <t>Pólizas vencidas</t>
  </si>
  <si>
    <t xml:space="preserve">PENDIENTE </t>
  </si>
  <si>
    <t>NO</t>
  </si>
  <si>
    <t>Pólizas Vigentes</t>
  </si>
  <si>
    <t>Renovadas</t>
  </si>
  <si>
    <t>TOTAL</t>
  </si>
  <si>
    <t>No Renovadas</t>
  </si>
  <si>
    <t>.</t>
  </si>
  <si>
    <t>Pólizas  que faltan</t>
  </si>
  <si>
    <t>RENOVADA</t>
  </si>
  <si>
    <t>% RENOVACION</t>
  </si>
  <si>
    <t>PENDIENTE</t>
  </si>
  <si>
    <t>NO RENOVADA</t>
  </si>
  <si>
    <t>PORCENTAJE RENOVADAS</t>
  </si>
  <si>
    <t>Hazel Castro</t>
  </si>
  <si>
    <t>PORCENTAJE PENDIENTES</t>
  </si>
  <si>
    <t>Yun Huerta</t>
  </si>
  <si>
    <t xml:space="preserve">PORCENTAJE NO RENOVADAS </t>
  </si>
  <si>
    <t>Claudia Rios</t>
  </si>
  <si>
    <t>FECHA VTO</t>
  </si>
  <si>
    <t>HOY</t>
  </si>
  <si>
    <t>VENCIDA</t>
  </si>
  <si>
    <t>POLIZA</t>
  </si>
  <si>
    <t>COD ASEG</t>
  </si>
  <si>
    <t>NOMBRE DEL ASEG.</t>
  </si>
  <si>
    <t>COD. AGTE.</t>
  </si>
  <si>
    <t>NOMBRE DEL AGTE.</t>
  </si>
  <si>
    <t>MON.</t>
  </si>
  <si>
    <t>PRIMA TOTAL</t>
  </si>
  <si>
    <t>STROS</t>
  </si>
  <si>
    <t>RENOVACION</t>
  </si>
  <si>
    <t>EJECUTIVO</t>
  </si>
  <si>
    <t xml:space="preserve">RENOVADA </t>
  </si>
  <si>
    <t>ESTATUS</t>
  </si>
  <si>
    <t xml:space="preserve">COMENTARIOS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</si>
</sst>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scheme val="minor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/>
    <xf numFmtId="0" fontId="3" fillId="0" borderId="3" xfId="0" applyFont="1" applyBorder="1"/>
    <xf numFmtId="0" fontId="4" fillId="0" borderId="3" xfId="0" applyFont="1" applyBorder="1" applyAlignment="1">
      <alignment horizontal="right"/>
    </xf>
    <xf numFmtId="0" fontId="4" fillId="0" borderId="0" xfId="0" applyFont="1"/>
    <xf numFmtId="0" fontId="5" fillId="3" borderId="3" xfId="0" applyFont="1" applyFill="1" applyBorder="1" applyAlignment="1">
      <alignment wrapText="1"/>
    </xf>
    <xf numFmtId="0" fontId="5" fillId="0" borderId="3" xfId="0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5" fillId="0" borderId="0" xfId="0" applyFont="1"/>
    <xf numFmtId="0" fontId="5" fillId="0" borderId="3" xfId="0" applyFont="1" applyBorder="1"/>
    <xf numFmtId="14" fontId="3" fillId="0" borderId="3" xfId="0" applyNumberFormat="1" applyFont="1" applyBorder="1"/>
    <xf numFmtId="0" fontId="6" fillId="0" borderId="0" xfId="0" applyFont="1"/>
    <xf numFmtId="0" fontId="7" fillId="0" borderId="0" xfId="0" applyFont="1"/>
    <xf numFmtId="14" fontId="0" fillId="0" borderId="0" xfId="0" applyNumberFormat="1"/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0" fillId="0" borderId="3" xfId="0" applyBorder="1" applyAlignment="1">
      <alignment horizontal="center"/>
    </xf>
    <xf numFmtId="2" fontId="3" fillId="0" borderId="3" xfId="0" applyNumberFormat="1" applyFont="1" applyBorder="1"/>
    <xf numFmtId="2" fontId="0" fillId="0" borderId="0" xfId="0" applyNumberFormat="1"/>
    <xf numFmtId="2" fontId="0" fillId="0" borderId="3" xfId="0" applyNumberFormat="1" applyBorder="1"/>
    <xf numFmtId="0" fontId="3" fillId="0" borderId="3" xfId="0" applyFont="1" applyBorder="1" applyAlignment="1">
      <alignment horizontal="left" vertical="center" wrapText="1"/>
    </xf>
    <xf numFmtId="14" fontId="0" fillId="0" borderId="3" xfId="0" applyNumberFormat="1" applyBorder="1"/>
    <xf numFmtId="0" fontId="0" fillId="0" borderId="3" xfId="0" applyBorder="1"/>
    <xf numFmtId="0" fontId="8" fillId="6" borderId="9" xfId="0" applyFont="1" applyFill="1" applyBorder="1"/>
    <xf numFmtId="9" fontId="8" fillId="6" borderId="10" xfId="0" applyNumberFormat="1" applyFont="1" applyFill="1" applyBorder="1"/>
    <xf numFmtId="0" fontId="3" fillId="0" borderId="1" xfId="0" applyFont="1" applyBorder="1"/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0" fontId="5" fillId="3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2" fontId="3" fillId="0" borderId="0" xfId="0" applyNumberFormat="1" applyFont="1"/>
    <xf numFmtId="14" fontId="9" fillId="7" borderId="3" xfId="0" applyNumberFormat="1" applyFont="1" applyFill="1" applyBorder="1" applyAlignment="1">
      <alignment horizontal="center" vertical="center"/>
    </xf>
    <xf numFmtId="14" fontId="9" fillId="7" borderId="3" xfId="0" applyNumberFormat="1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/>
    </xf>
    <xf numFmtId="2" fontId="9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1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M17"/>
  <sheetViews>
    <sheetView workbookViewId="0">
      <selection activeCell="D28" sqref="D28"/>
    </sheetView>
  </sheetViews>
  <sheetFormatPr baseColWidth="10" defaultColWidth="14.3984375" defaultRowHeight="14" x14ac:dyDescent="0.2"/>
  <cols>
    <col min="2" max="2" width="15.19921875" bestFit="1" customWidth="1"/>
    <col min="3" max="3" width="13.3984375" customWidth="1"/>
    <col min="10" max="10" width="25.19921875" bestFit="1" customWidth="1"/>
    <col min="11" max="11" width="5.19921875" bestFit="1" customWidth="1"/>
    <col min="13" max="13" width="10.59765625" bestFit="1" customWidth="1"/>
  </cols>
  <sheetData>
    <row r="1" spans="1:13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16" t="s">
        <v>0</v>
      </c>
    </row>
    <row r="3" spans="1:13" ht="15" x14ac:dyDescent="0.2">
      <c r="A3" s="4"/>
      <c r="B3" s="4"/>
      <c r="C3" s="4"/>
      <c r="D3" s="4"/>
      <c r="E3" s="4"/>
      <c r="F3" s="4"/>
      <c r="G3" s="4"/>
      <c r="H3" s="4"/>
      <c r="I3" s="4"/>
      <c r="J3" s="47" t="s">
        <v>1</v>
      </c>
      <c r="K3" s="48"/>
      <c r="L3" s="4"/>
      <c r="M3" s="17" t="s">
        <v>2</v>
      </c>
    </row>
    <row r="4" spans="1:13" ht="32" x14ac:dyDescent="0.2">
      <c r="B4" s="5" t="s">
        <v>3</v>
      </c>
      <c r="C4" s="6">
        <f ca="1">COUNTIF(CONCENTRADO!$D$3:$D$127,"SI")</f>
        <v>94</v>
      </c>
      <c r="D4" s="4"/>
      <c r="E4" s="4"/>
      <c r="F4" s="4"/>
      <c r="G4" s="4"/>
      <c r="H4" s="4"/>
      <c r="I4" s="4"/>
      <c r="J4" s="19" t="s">
        <v>4</v>
      </c>
      <c r="K4" s="21">
        <f>COUNTBLANK(CONCENTRADO!P3:P96)</f>
        <v>94</v>
      </c>
      <c r="L4" s="4"/>
      <c r="M4" s="18" t="s">
        <v>5</v>
      </c>
    </row>
    <row r="5" spans="1:13" ht="32" x14ac:dyDescent="0.2">
      <c r="B5" s="5" t="s">
        <v>6</v>
      </c>
      <c r="C5" s="6">
        <f ca="1">COUNTIF(CONCENTRADO!$D$3:$D$136,"NO")</f>
        <v>0</v>
      </c>
      <c r="D5" s="4"/>
      <c r="E5" s="4"/>
      <c r="F5" s="4"/>
      <c r="G5" s="4"/>
      <c r="H5" s="4"/>
      <c r="I5" s="4"/>
      <c r="J5" s="8" t="s">
        <v>7</v>
      </c>
      <c r="K5" s="20">
        <f>COUNTIF(CONCENTRADO!$P$3:$P$96,CONTROL!M3)</f>
        <v>0</v>
      </c>
      <c r="L5" s="4"/>
    </row>
    <row r="6" spans="1:13" ht="15" x14ac:dyDescent="0.2">
      <c r="A6" s="4"/>
      <c r="B6" s="9" t="s">
        <v>8</v>
      </c>
      <c r="C6" s="6">
        <f ca="1">SUM(C4:C5)</f>
        <v>94</v>
      </c>
      <c r="D6" s="4"/>
      <c r="E6" s="4"/>
      <c r="F6" s="4"/>
      <c r="G6" s="4"/>
      <c r="H6" s="4"/>
      <c r="I6" s="4"/>
      <c r="J6" s="8" t="s">
        <v>9</v>
      </c>
      <c r="K6" s="7">
        <f>COUNTIF(CONCENTRADO!$P$3:$P$96,CONTROL!M4)</f>
        <v>0</v>
      </c>
      <c r="L6" s="4"/>
    </row>
    <row r="7" spans="1:13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3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3" ht="15" x14ac:dyDescent="0.2">
      <c r="A9" s="4"/>
      <c r="B9" s="10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spans="1:13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3" ht="32" x14ac:dyDescent="0.2">
      <c r="A11" s="4"/>
      <c r="B11" s="49" t="s">
        <v>11</v>
      </c>
      <c r="C11" s="50"/>
      <c r="D11" s="35" t="s">
        <v>8</v>
      </c>
      <c r="E11" s="35" t="s">
        <v>12</v>
      </c>
      <c r="F11" s="35" t="s">
        <v>13</v>
      </c>
      <c r="G11" s="35" t="s">
        <v>14</v>
      </c>
      <c r="H11" s="35" t="s">
        <v>15</v>
      </c>
      <c r="I11" s="4"/>
      <c r="J11" s="28" t="s">
        <v>16</v>
      </c>
      <c r="K11" s="29">
        <f ca="1">K5/C6</f>
        <v>0</v>
      </c>
      <c r="L11" s="4"/>
    </row>
    <row r="12" spans="1:13" ht="15" x14ac:dyDescent="0.2">
      <c r="A12" s="4"/>
      <c r="B12" s="34">
        <f>COUNTIF(CONCENTRADO!N3:N96,CONTROL!C12)</f>
        <v>0</v>
      </c>
      <c r="C12" s="11" t="s">
        <v>17</v>
      </c>
      <c r="D12" s="36">
        <f>COUNTIF(CONCENTRADO!O:O,CONTROL!C12)</f>
        <v>0</v>
      </c>
      <c r="E12" s="36">
        <f>COUNTIFS(CONCENTRADO!Q:Q,CONTROL!E11,CONCENTRADO!O:O,CONTROL!C12)</f>
        <v>0</v>
      </c>
      <c r="F12" s="37" t="e">
        <f>E12/D12</f>
        <v>#DIV/0!</v>
      </c>
      <c r="G12" s="36">
        <f>COUNTIFS(CONCENTRADO!Q:Q,CONTROL!G11,CONCENTRADO!O:O,CONTROL!C12)</f>
        <v>0</v>
      </c>
      <c r="H12" s="36">
        <f>COUNTIFS(CONCENTRADO!Q:Q,CONTROL!H11,CONCENTRADO!O:O,CONTROL!C12)</f>
        <v>0</v>
      </c>
      <c r="I12" s="4"/>
      <c r="J12" s="28" t="s">
        <v>18</v>
      </c>
      <c r="K12" s="29">
        <f ca="1">K4/C6</f>
        <v>1</v>
      </c>
      <c r="L12" s="4"/>
    </row>
    <row r="13" spans="1:13" ht="15" x14ac:dyDescent="0.2">
      <c r="A13" s="4"/>
      <c r="B13" s="34">
        <f>COUNTIF(CONCENTRADO!N3:N96,CONTROL!C13)</f>
        <v>0</v>
      </c>
      <c r="C13" s="11" t="s">
        <v>19</v>
      </c>
      <c r="D13" s="36">
        <f>COUNTIF(CONCENTRADO!O:O,CONTROL!C13)</f>
        <v>0</v>
      </c>
      <c r="E13" s="36">
        <f>COUNTIFS(CONCENTRADO!Q:Q,CONTROL!E11,CONCENTRADO!O:O,CONTROL!C13)</f>
        <v>0</v>
      </c>
      <c r="F13" s="37" t="e">
        <f t="shared" ref="F13:F15" si="0">E13/D13</f>
        <v>#DIV/0!</v>
      </c>
      <c r="G13" s="36">
        <f>COUNTIFS(CONCENTRADO!Q:Q,CONTROL!G11,CONCENTRADO!O:O,CONTROL!C13)</f>
        <v>0</v>
      </c>
      <c r="H13" s="36">
        <f>COUNTIFS(CONCENTRADO!Q:Q,CONTROL!H11,CONCENTRADO!O:O,CONTROL!C13)</f>
        <v>0</v>
      </c>
      <c r="I13" s="4"/>
      <c r="J13" s="28" t="s">
        <v>20</v>
      </c>
      <c r="K13" s="29">
        <f ca="1">K6/C6</f>
        <v>0</v>
      </c>
      <c r="L13" s="4"/>
    </row>
    <row r="14" spans="1:13" ht="15" x14ac:dyDescent="0.2">
      <c r="A14" s="4"/>
      <c r="B14" s="34">
        <f>COUNTIF(CONCENTRADO!N5:N96,CONTROL!C14)</f>
        <v>0</v>
      </c>
      <c r="C14" s="11" t="s">
        <v>21</v>
      </c>
      <c r="D14" s="36">
        <f>COUNTIF(CONCENTRADO!O:O,CONTROL!C14)</f>
        <v>0</v>
      </c>
      <c r="E14" s="36">
        <f>COUNTIFS(CONCENTRADO!Q:Q,CONTROL!E11,CONCENTRADO!O:O,CONTROL!C14)</f>
        <v>0</v>
      </c>
      <c r="F14" s="37" t="e">
        <f t="shared" si="0"/>
        <v>#DIV/0!</v>
      </c>
      <c r="G14" s="36">
        <f>COUNTIFS(CONCENTRADO!Q:Q,CONTROL!G11,CONCENTRADO!O:O,CONTROL!C14)</f>
        <v>0</v>
      </c>
      <c r="H14" s="36">
        <f>COUNTIFS(CONCENTRADO!Q:Q,CONTROL!H11,CONCENTRADO!O:O,CONTROL!C14)</f>
        <v>0</v>
      </c>
      <c r="I14" s="4"/>
      <c r="J14" s="4"/>
      <c r="K14" s="4"/>
      <c r="L14" s="4"/>
    </row>
    <row r="15" spans="1:13" ht="15" x14ac:dyDescent="0.2">
      <c r="A15" s="4"/>
      <c r="B15" s="7">
        <f>SUM(B12:B14)</f>
        <v>0</v>
      </c>
      <c r="C15" s="11" t="s">
        <v>8</v>
      </c>
      <c r="D15" s="38">
        <f>SUM(D12:D14)</f>
        <v>0</v>
      </c>
      <c r="E15" s="38">
        <f>SUM(E12:E14)</f>
        <v>0</v>
      </c>
      <c r="F15" s="39" t="e">
        <f t="shared" si="0"/>
        <v>#DIV/0!</v>
      </c>
      <c r="G15" s="38">
        <f>SUM(G12:G14)</f>
        <v>0</v>
      </c>
      <c r="H15" s="38">
        <f>SUM(H12:H14)</f>
        <v>0</v>
      </c>
      <c r="I15" s="4"/>
      <c r="J15" s="4"/>
      <c r="K15" s="4"/>
      <c r="L15" s="4"/>
    </row>
    <row r="16" spans="1:13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</sheetData>
  <mergeCells count="2">
    <mergeCell ref="J3:K3"/>
    <mergeCell ref="B11:C11"/>
  </mergeCells>
  <conditionalFormatting sqref="F12:F14">
    <cfRule type="cellIs" dxfId="2" priority="1" operator="lessThan">
      <formula>0.83</formula>
    </cfRule>
  </conditionalFormatting>
  <pageMargins left="0" right="0" top="0" bottom="0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5004-DC97-4EE0-AB39-B881192A5A3B}">
  <sheetPr>
    <pageSetUpPr fitToPage="1"/>
  </sheetPr>
  <dimension ref="A1:AB733"/>
  <sheetViews>
    <sheetView tabSelected="1" workbookViewId="0">
      <selection activeCell="J22" sqref="J22"/>
    </sheetView>
  </sheetViews>
  <sheetFormatPr baseColWidth="10" defaultColWidth="14.3984375" defaultRowHeight="15" customHeight="1" x14ac:dyDescent="0.2"/>
  <cols>
    <col min="1" max="1" width="6.3984375" customWidth="1"/>
    <col min="2" max="2" width="13.19921875" style="15" bestFit="1" customWidth="1"/>
    <col min="3" max="3" width="14.19921875" style="15" customWidth="1"/>
    <col min="4" max="4" width="10.19921875" style="15" customWidth="1"/>
    <col min="5" max="5" width="11" customWidth="1"/>
    <col min="6" max="6" width="10" customWidth="1"/>
    <col min="7" max="7" width="23.3984375" bestFit="1" customWidth="1"/>
    <col min="8" max="8" width="10.796875" customWidth="1"/>
    <col min="9" max="9" width="22" customWidth="1"/>
    <col min="10" max="10" width="8.3984375" bestFit="1" customWidth="1"/>
    <col min="11" max="11" width="15.3984375" bestFit="1" customWidth="1"/>
    <col min="12" max="12" width="8.19921875" customWidth="1"/>
    <col min="13" max="13" width="13" style="23" customWidth="1"/>
    <col min="14" max="14" width="15.796875" customWidth="1"/>
    <col min="15" max="15" width="14.796875" customWidth="1"/>
    <col min="16" max="16" width="12" customWidth="1"/>
    <col min="17" max="17" width="10" customWidth="1"/>
    <col min="18" max="18" width="24.3984375" customWidth="1"/>
    <col min="19" max="20" width="9.19921875"/>
    <col min="21" max="21" width="17.19921875" bestFit="1" customWidth="1"/>
  </cols>
  <sheetData>
    <row r="1" spans="1:28" ht="16" x14ac:dyDescent="0.2">
      <c r="B1" s="41" t="s">
        <v>22</v>
      </c>
      <c r="C1" s="41" t="s">
        <v>23</v>
      </c>
      <c r="D1" s="42" t="s">
        <v>24</v>
      </c>
      <c r="E1" s="43" t="s">
        <v>25</v>
      </c>
      <c r="F1" s="43" t="s">
        <v>26</v>
      </c>
      <c r="G1" s="43" t="s">
        <v>27</v>
      </c>
      <c r="H1" s="43" t="s">
        <v>28</v>
      </c>
      <c r="I1" s="43" t="s">
        <v>29</v>
      </c>
      <c r="J1" s="43" t="s">
        <v>30</v>
      </c>
      <c r="K1" s="43" t="s">
        <v>31</v>
      </c>
      <c r="L1" s="43" t="s">
        <v>32</v>
      </c>
      <c r="M1" s="44" t="s">
        <v>33</v>
      </c>
      <c r="N1" s="43" t="s">
        <v>34</v>
      </c>
      <c r="O1" s="45" t="s">
        <v>34</v>
      </c>
      <c r="P1" s="45" t="s">
        <v>35</v>
      </c>
      <c r="Q1" s="46" t="s">
        <v>36</v>
      </c>
      <c r="R1" s="45" t="s">
        <v>37</v>
      </c>
    </row>
    <row r="2" spans="1:28" ht="14" x14ac:dyDescent="0.2">
      <c r="B2" s="12"/>
      <c r="C2" s="12">
        <f t="shared" ref="C2:C34" ca="1" si="0">TODAY()</f>
        <v>46100</v>
      </c>
      <c r="D2" s="12" t="str">
        <f t="shared" ref="D2" ca="1" si="1">IF(B2&lt;=C2,"SI","NO")</f>
        <v>SI</v>
      </c>
      <c r="E2" s="2"/>
      <c r="F2" s="3"/>
      <c r="G2" s="2"/>
      <c r="H2" s="3"/>
      <c r="I2" s="2"/>
      <c r="J2" s="2"/>
      <c r="K2" s="30"/>
      <c r="L2" s="32"/>
      <c r="M2" s="22"/>
      <c r="N2" s="2">
        <f t="shared" ref="N2" si="2">IF(P2="SI","",O2)</f>
        <v>0</v>
      </c>
      <c r="O2" s="2"/>
      <c r="P2" s="2"/>
      <c r="Q2" s="2" t="str" cm="1">
        <f t="array" ref="Q2">_xlfn.IFS(P2="SI","RENOVADA",P2="","PENDIENTE",P2="NO","NO RENOVADA")</f>
        <v>PENDIENTE</v>
      </c>
      <c r="R2" s="2"/>
    </row>
    <row r="3" spans="1:28" ht="14" x14ac:dyDescent="0.2">
      <c r="A3" s="1"/>
      <c r="B3" s="12"/>
      <c r="C3" s="12">
        <f t="shared" ca="1" si="0"/>
        <v>46100</v>
      </c>
      <c r="D3" s="12" t="str">
        <f t="shared" ref="D3:D34" ca="1" si="3">IF(B3&lt;=C3,"SI","NO")</f>
        <v>SI</v>
      </c>
      <c r="E3" s="2"/>
      <c r="F3" s="3"/>
      <c r="G3" s="2"/>
      <c r="H3" s="3"/>
      <c r="I3" s="2"/>
      <c r="J3" s="2"/>
      <c r="K3" s="30"/>
      <c r="L3" s="32"/>
      <c r="M3" s="22"/>
      <c r="N3" s="2">
        <f t="shared" ref="N3:N34" si="4">IF(P3="SI","",O3)</f>
        <v>0</v>
      </c>
      <c r="O3" s="2"/>
      <c r="P3" s="2"/>
      <c r="Q3" s="2" t="str" cm="1">
        <f t="array" ref="Q3">_xlfn.IFS(P3="SI","RENOVADA",P3="","PENDIENTE",P3="NO","NO RENOVADA")</f>
        <v>PENDIENTE</v>
      </c>
      <c r="R3" s="2"/>
      <c r="T3" s="1"/>
      <c r="U3" s="1"/>
      <c r="V3" s="1"/>
      <c r="W3" s="1"/>
      <c r="X3" s="1"/>
      <c r="Y3" s="1"/>
      <c r="Z3" s="1"/>
      <c r="AA3" s="1"/>
      <c r="AB3" s="1"/>
    </row>
    <row r="4" spans="1:28" ht="14" x14ac:dyDescent="0.2">
      <c r="A4" s="1"/>
      <c r="B4" s="12"/>
      <c r="C4" s="12">
        <f t="shared" ca="1" si="0"/>
        <v>46100</v>
      </c>
      <c r="D4" s="12" t="str">
        <f t="shared" ca="1" si="3"/>
        <v>SI</v>
      </c>
      <c r="E4" s="2"/>
      <c r="F4" s="3"/>
      <c r="G4" s="2"/>
      <c r="H4" s="3"/>
      <c r="I4" s="2"/>
      <c r="J4" s="2"/>
      <c r="K4" s="30"/>
      <c r="L4" s="32"/>
      <c r="M4" s="22"/>
      <c r="N4" s="2">
        <f t="shared" si="4"/>
        <v>0</v>
      </c>
      <c r="O4" s="2"/>
      <c r="P4" s="2"/>
      <c r="Q4" s="2" t="str" cm="1">
        <f t="array" ref="Q4">_xlfn.IFS(P4="SI","RENOVADA",P4="","PENDIENTE",P4="NO","NO RENOVADA")</f>
        <v>PENDIENTE</v>
      </c>
      <c r="R4" s="2"/>
    </row>
    <row r="5" spans="1:28" ht="14" x14ac:dyDescent="0.2">
      <c r="A5" s="1"/>
      <c r="B5" s="26"/>
      <c r="C5" s="12">
        <f t="shared" ca="1" si="0"/>
        <v>46100</v>
      </c>
      <c r="D5" s="12" t="str">
        <f t="shared" ca="1" si="3"/>
        <v>SI</v>
      </c>
      <c r="E5" s="27"/>
      <c r="F5" s="27"/>
      <c r="G5" s="27"/>
      <c r="H5" s="27"/>
      <c r="I5" s="27"/>
      <c r="J5" s="27"/>
      <c r="K5" s="31"/>
      <c r="L5" s="33"/>
      <c r="M5" s="24"/>
      <c r="N5" s="2">
        <f t="shared" si="4"/>
        <v>0</v>
      </c>
      <c r="O5" s="2"/>
      <c r="P5" s="2"/>
      <c r="Q5" s="2" t="str" cm="1">
        <f t="array" ref="Q5">_xlfn.IFS(P5="SI","RENOVADA",P5="","PENDIENTE",P5="NO","NO RENOVADA")</f>
        <v>PENDIENTE</v>
      </c>
      <c r="R5" s="27"/>
      <c r="T5" s="13"/>
    </row>
    <row r="6" spans="1:28" ht="14" x14ac:dyDescent="0.2">
      <c r="A6" s="1"/>
      <c r="B6" s="12"/>
      <c r="C6" s="12">
        <f t="shared" ca="1" si="0"/>
        <v>46100</v>
      </c>
      <c r="D6" s="12" t="str">
        <f t="shared" ca="1" si="3"/>
        <v>SI</v>
      </c>
      <c r="E6" s="2"/>
      <c r="F6" s="3"/>
      <c r="G6" s="2"/>
      <c r="H6" s="3"/>
      <c r="I6" s="2"/>
      <c r="J6" s="2"/>
      <c r="K6" s="30"/>
      <c r="L6" s="32"/>
      <c r="M6" s="22"/>
      <c r="N6" s="2">
        <f t="shared" si="4"/>
        <v>0</v>
      </c>
      <c r="O6" s="2"/>
      <c r="P6" s="2"/>
      <c r="Q6" s="2" t="str" cm="1">
        <f t="array" ref="Q6">_xlfn.IFS(P6="SI","RENOVADA",P6="","PENDIENTE",P6="NO","NO RENOVADA")</f>
        <v>PENDIENTE</v>
      </c>
      <c r="R6" s="2"/>
      <c r="T6" s="14"/>
    </row>
    <row r="7" spans="1:28" ht="14" x14ac:dyDescent="0.2">
      <c r="A7" s="1"/>
      <c r="B7" s="12"/>
      <c r="C7" s="12">
        <f t="shared" ca="1" si="0"/>
        <v>46100</v>
      </c>
      <c r="D7" s="12" t="str">
        <f t="shared" ca="1" si="3"/>
        <v>SI</v>
      </c>
      <c r="E7" s="2"/>
      <c r="F7" s="3"/>
      <c r="G7" s="2"/>
      <c r="H7" s="3"/>
      <c r="I7" s="2"/>
      <c r="J7" s="2"/>
      <c r="K7" s="30"/>
      <c r="L7" s="32"/>
      <c r="M7" s="22"/>
      <c r="N7" s="2">
        <f t="shared" si="4"/>
        <v>0</v>
      </c>
      <c r="O7" s="2"/>
      <c r="P7" s="2"/>
      <c r="Q7" s="2" t="str" cm="1">
        <f t="array" ref="Q7">_xlfn.IFS(P7="SI","RENOVADA",P7="","PENDIENTE",P7="NO","NO RENOVADA")</f>
        <v>PENDIENTE</v>
      </c>
      <c r="R7" s="2"/>
    </row>
    <row r="8" spans="1:28" ht="14" x14ac:dyDescent="0.2">
      <c r="A8" s="1"/>
      <c r="B8" s="26"/>
      <c r="C8" s="12">
        <f t="shared" ca="1" si="0"/>
        <v>46100</v>
      </c>
      <c r="D8" s="12" t="str">
        <f t="shared" ca="1" si="3"/>
        <v>SI</v>
      </c>
      <c r="E8" s="27"/>
      <c r="F8" s="27"/>
      <c r="G8" s="27"/>
      <c r="H8" s="27"/>
      <c r="I8" s="27"/>
      <c r="J8" s="27"/>
      <c r="K8" s="31"/>
      <c r="L8" s="33"/>
      <c r="M8" s="24"/>
      <c r="N8" s="2">
        <f t="shared" si="4"/>
        <v>0</v>
      </c>
      <c r="O8" s="2"/>
      <c r="P8" s="2"/>
      <c r="Q8" s="2" t="str" cm="1">
        <f t="array" ref="Q8">_xlfn.IFS(P8="SI","RENOVADA",P8="","PENDIENTE",P8="NO","NO RENOVADA")</f>
        <v>PENDIENTE</v>
      </c>
      <c r="R8" s="27"/>
      <c r="T8" s="1"/>
      <c r="U8" s="1"/>
      <c r="V8" s="1"/>
      <c r="W8" s="1"/>
      <c r="X8" s="1"/>
      <c r="Y8" s="1"/>
      <c r="Z8" s="1"/>
      <c r="AA8" s="1"/>
      <c r="AB8" s="1"/>
    </row>
    <row r="9" spans="1:28" ht="14" x14ac:dyDescent="0.2">
      <c r="A9" s="1"/>
      <c r="B9" s="12"/>
      <c r="C9" s="12">
        <f t="shared" ca="1" si="0"/>
        <v>46100</v>
      </c>
      <c r="D9" s="12" t="str">
        <f t="shared" ca="1" si="3"/>
        <v>SI</v>
      </c>
      <c r="E9" s="2"/>
      <c r="F9" s="3"/>
      <c r="G9" s="2"/>
      <c r="H9" s="3"/>
      <c r="I9" s="2"/>
      <c r="J9" s="2"/>
      <c r="K9" s="30"/>
      <c r="L9" s="32"/>
      <c r="M9" s="22"/>
      <c r="N9" s="2">
        <f t="shared" si="4"/>
        <v>0</v>
      </c>
      <c r="O9" s="2"/>
      <c r="P9" s="2"/>
      <c r="Q9" s="2" t="str" cm="1">
        <f t="array" ref="Q9">_xlfn.IFS(P9="SI","RENOVADA",P9="","PENDIENTE",P9="NO","NO RENOVADA")</f>
        <v>PENDIENTE</v>
      </c>
      <c r="R9" s="2"/>
    </row>
    <row r="10" spans="1:28" ht="14" x14ac:dyDescent="0.2">
      <c r="A10" s="1"/>
      <c r="B10" s="12"/>
      <c r="C10" s="12">
        <f t="shared" ca="1" si="0"/>
        <v>46100</v>
      </c>
      <c r="D10" s="12" t="str">
        <f t="shared" ca="1" si="3"/>
        <v>SI</v>
      </c>
      <c r="E10" s="2"/>
      <c r="F10" s="3"/>
      <c r="G10" s="2"/>
      <c r="H10" s="3"/>
      <c r="I10" s="2"/>
      <c r="J10" s="2"/>
      <c r="K10" s="30"/>
      <c r="L10" s="32"/>
      <c r="M10" s="22"/>
      <c r="N10" s="2">
        <f t="shared" si="4"/>
        <v>0</v>
      </c>
      <c r="O10" s="2"/>
      <c r="P10" s="2"/>
      <c r="Q10" s="2" t="str" cm="1">
        <f t="array" ref="Q10">_xlfn.IFS(P10="SI","RENOVADA",P10="","PENDIENTE",P10="NO","NO RENOVADA")</f>
        <v>PENDIENTE</v>
      </c>
      <c r="R10" s="2"/>
    </row>
    <row r="11" spans="1:28" ht="14" x14ac:dyDescent="0.2">
      <c r="B11" s="12"/>
      <c r="C11" s="12">
        <f t="shared" ca="1" si="0"/>
        <v>46100</v>
      </c>
      <c r="D11" s="12" t="str">
        <f t="shared" ca="1" si="3"/>
        <v>SI</v>
      </c>
      <c r="E11" s="2"/>
      <c r="F11" s="3"/>
      <c r="G11" s="2"/>
      <c r="H11" s="2"/>
      <c r="I11" s="2"/>
      <c r="J11" s="2"/>
      <c r="K11" s="30"/>
      <c r="L11" s="32"/>
      <c r="M11" s="22"/>
      <c r="N11" s="2">
        <f t="shared" si="4"/>
        <v>0</v>
      </c>
      <c r="O11" s="2"/>
      <c r="P11" s="2"/>
      <c r="Q11" s="2" t="str" cm="1">
        <f t="array" ref="Q11">_xlfn.IFS(P11="SI","RENOVADA",P11="","PENDIENTE",P11="NO","NO RENOVADA")</f>
        <v>PENDIENTE</v>
      </c>
      <c r="R11" s="2"/>
    </row>
    <row r="12" spans="1:28" ht="14" x14ac:dyDescent="0.2">
      <c r="A12" s="1"/>
      <c r="B12" s="12"/>
      <c r="C12" s="12">
        <f t="shared" ca="1" si="0"/>
        <v>46100</v>
      </c>
      <c r="D12" s="12" t="str">
        <f t="shared" ca="1" si="3"/>
        <v>SI</v>
      </c>
      <c r="E12" s="2"/>
      <c r="F12" s="3"/>
      <c r="G12" s="2"/>
      <c r="H12" s="3"/>
      <c r="I12" s="2"/>
      <c r="J12" s="2"/>
      <c r="K12" s="30"/>
      <c r="L12" s="32"/>
      <c r="M12" s="22"/>
      <c r="N12" s="2">
        <f t="shared" si="4"/>
        <v>0</v>
      </c>
      <c r="O12" s="2"/>
      <c r="P12" s="2"/>
      <c r="Q12" s="2" t="str" cm="1">
        <f t="array" ref="Q12">_xlfn.IFS(P12="SI","RENOVADA",P12="","PENDIENTE",P12="NO","NO RENOVADA")</f>
        <v>PENDIENTE</v>
      </c>
      <c r="R12" s="2"/>
    </row>
    <row r="13" spans="1:28" ht="14" x14ac:dyDescent="0.2">
      <c r="A13" s="1"/>
      <c r="B13" s="12"/>
      <c r="C13" s="12">
        <f t="shared" ca="1" si="0"/>
        <v>46100</v>
      </c>
      <c r="D13" s="12" t="str">
        <f t="shared" ca="1" si="3"/>
        <v>SI</v>
      </c>
      <c r="E13" s="2"/>
      <c r="F13" s="3"/>
      <c r="G13" s="2"/>
      <c r="H13" s="2"/>
      <c r="I13" s="2"/>
      <c r="J13" s="2"/>
      <c r="K13" s="30"/>
      <c r="L13" s="32"/>
      <c r="M13" s="22"/>
      <c r="N13" s="2">
        <f t="shared" si="4"/>
        <v>0</v>
      </c>
      <c r="O13" s="2"/>
      <c r="P13" s="2"/>
      <c r="Q13" s="2" t="str" cm="1">
        <f t="array" ref="Q13">_xlfn.IFS(P13="SI","RENOVADA",P13="","PENDIENTE",P13="NO","NO RENOVADA")</f>
        <v>PENDIENTE</v>
      </c>
      <c r="R13" s="2"/>
      <c r="T13" s="1"/>
      <c r="U13" s="1"/>
      <c r="V13" s="1"/>
      <c r="W13" s="1"/>
      <c r="X13" s="1"/>
      <c r="Y13" s="1"/>
      <c r="Z13" s="1"/>
      <c r="AA13" s="1"/>
      <c r="AB13" s="1"/>
    </row>
    <row r="14" spans="1:28" ht="14" x14ac:dyDescent="0.2">
      <c r="A14" s="1"/>
      <c r="B14" s="26"/>
      <c r="C14" s="12">
        <f t="shared" ca="1" si="0"/>
        <v>46100</v>
      </c>
      <c r="D14" s="12" t="str">
        <f t="shared" ca="1" si="3"/>
        <v>SI</v>
      </c>
      <c r="E14" s="27"/>
      <c r="F14" s="27"/>
      <c r="G14" s="27"/>
      <c r="H14" s="27"/>
      <c r="I14" s="27"/>
      <c r="J14" s="27"/>
      <c r="K14" s="31"/>
      <c r="L14" s="33"/>
      <c r="M14" s="24"/>
      <c r="N14" s="2">
        <f t="shared" si="4"/>
        <v>0</v>
      </c>
      <c r="O14" s="2"/>
      <c r="P14" s="2"/>
      <c r="Q14" s="2" t="str" cm="1">
        <f t="array" ref="Q14">_xlfn.IFS(P14="SI","RENOVADA",P14="","PENDIENTE",P14="NO","NO RENOVADA")</f>
        <v>PENDIENTE</v>
      </c>
      <c r="R14" s="27"/>
      <c r="T14" s="1"/>
      <c r="U14" s="1"/>
      <c r="V14" s="1"/>
      <c r="W14" s="1"/>
      <c r="X14" s="1"/>
      <c r="Y14" s="1"/>
      <c r="Z14" s="1"/>
      <c r="AA14" s="1"/>
      <c r="AB14" s="1"/>
    </row>
    <row r="15" spans="1:28" ht="14" x14ac:dyDescent="0.2">
      <c r="A15" s="1"/>
      <c r="B15" s="12"/>
      <c r="C15" s="12">
        <f t="shared" ca="1" si="0"/>
        <v>46100</v>
      </c>
      <c r="D15" s="12" t="str">
        <f t="shared" ca="1" si="3"/>
        <v>SI</v>
      </c>
      <c r="E15" s="2"/>
      <c r="F15" s="3"/>
      <c r="G15" s="2"/>
      <c r="H15" s="2"/>
      <c r="I15" s="2"/>
      <c r="J15" s="2"/>
      <c r="K15" s="30"/>
      <c r="L15" s="32"/>
      <c r="M15" s="22"/>
      <c r="N15" s="2">
        <f t="shared" si="4"/>
        <v>0</v>
      </c>
      <c r="O15" s="2"/>
      <c r="P15" s="2"/>
      <c r="Q15" s="2" t="str" cm="1">
        <f t="array" ref="Q15">_xlfn.IFS(P15="SI","RENOVADA",P15="","PENDIENTE",P15="NO","NO RENOVADA")</f>
        <v>PENDIENTE</v>
      </c>
      <c r="R15" s="2"/>
      <c r="T15" s="1"/>
      <c r="U15" s="1"/>
      <c r="V15" s="1"/>
      <c r="W15" s="1"/>
      <c r="X15" s="1"/>
      <c r="Y15" s="1"/>
      <c r="Z15" s="1"/>
      <c r="AA15" s="1"/>
      <c r="AB15" s="1"/>
    </row>
    <row r="16" spans="1:28" ht="14" x14ac:dyDescent="0.2">
      <c r="A16" s="1"/>
      <c r="B16" s="12"/>
      <c r="C16" s="12">
        <f t="shared" ca="1" si="0"/>
        <v>46100</v>
      </c>
      <c r="D16" s="12" t="str">
        <f t="shared" ca="1" si="3"/>
        <v>SI</v>
      </c>
      <c r="E16" s="2"/>
      <c r="F16" s="3"/>
      <c r="G16" s="2"/>
      <c r="H16" s="3"/>
      <c r="I16" s="2"/>
      <c r="J16" s="2"/>
      <c r="K16" s="30"/>
      <c r="L16" s="32"/>
      <c r="M16" s="22"/>
      <c r="N16" s="2">
        <f t="shared" si="4"/>
        <v>0</v>
      </c>
      <c r="O16" s="2"/>
      <c r="P16" s="2"/>
      <c r="Q16" s="2" t="str" cm="1">
        <f t="array" ref="Q16">_xlfn.IFS(P16="SI","RENOVADA",P16="","PENDIENTE",P16="NO","NO RENOVADA")</f>
        <v>PENDIENTE</v>
      </c>
      <c r="R16" s="2"/>
      <c r="T16" s="1"/>
      <c r="U16" s="1"/>
      <c r="V16" s="1"/>
      <c r="W16" s="1"/>
      <c r="X16" s="1"/>
      <c r="Y16" s="1"/>
      <c r="Z16" s="1"/>
      <c r="AA16" s="1"/>
      <c r="AB16" s="1"/>
    </row>
    <row r="17" spans="1:28" ht="14" x14ac:dyDescent="0.2">
      <c r="A17" s="1"/>
      <c r="B17" s="26"/>
      <c r="C17" s="12">
        <f t="shared" ca="1" si="0"/>
        <v>46100</v>
      </c>
      <c r="D17" s="12" t="str">
        <f t="shared" ca="1" si="3"/>
        <v>SI</v>
      </c>
      <c r="E17" s="27"/>
      <c r="F17" s="27"/>
      <c r="G17" s="27"/>
      <c r="H17" s="27"/>
      <c r="I17" s="27"/>
      <c r="J17" s="27"/>
      <c r="K17" s="31"/>
      <c r="L17" s="33"/>
      <c r="M17" s="24"/>
      <c r="N17" s="2">
        <f t="shared" si="4"/>
        <v>0</v>
      </c>
      <c r="O17" s="2"/>
      <c r="P17" s="2"/>
      <c r="Q17" s="2" t="str" cm="1">
        <f t="array" ref="Q17">_xlfn.IFS(P17="SI","RENOVADA",P17="","PENDIENTE",P17="NO","NO RENOVADA")</f>
        <v>PENDIENTE</v>
      </c>
      <c r="R17" s="27"/>
    </row>
    <row r="18" spans="1:28" ht="14" x14ac:dyDescent="0.2">
      <c r="A18" s="1"/>
      <c r="B18" s="26"/>
      <c r="C18" s="12">
        <f t="shared" ca="1" si="0"/>
        <v>46100</v>
      </c>
      <c r="D18" s="12" t="str">
        <f t="shared" ca="1" si="3"/>
        <v>SI</v>
      </c>
      <c r="E18" s="27"/>
      <c r="F18" s="27"/>
      <c r="G18" s="27"/>
      <c r="H18" s="27"/>
      <c r="I18" s="27"/>
      <c r="J18" s="27"/>
      <c r="K18" s="31"/>
      <c r="L18" s="33"/>
      <c r="M18" s="24"/>
      <c r="N18" s="2">
        <f t="shared" si="4"/>
        <v>0</v>
      </c>
      <c r="O18" s="2"/>
      <c r="P18" s="2"/>
      <c r="Q18" s="2" t="str" cm="1">
        <f t="array" ref="Q18">_xlfn.IFS(P18="SI","RENOVADA",P18="","PENDIENTE",P18="NO","NO RENOVADA")</f>
        <v>PENDIENTE</v>
      </c>
      <c r="R18" s="27"/>
    </row>
    <row r="19" spans="1:28" ht="14" x14ac:dyDescent="0.2">
      <c r="A19" s="1"/>
      <c r="B19" s="12"/>
      <c r="C19" s="12">
        <f t="shared" ca="1" si="0"/>
        <v>46100</v>
      </c>
      <c r="D19" s="12" t="str">
        <f t="shared" ca="1" si="3"/>
        <v>SI</v>
      </c>
      <c r="E19" s="2"/>
      <c r="F19" s="3"/>
      <c r="G19" s="2"/>
      <c r="H19" s="3"/>
      <c r="I19" s="2"/>
      <c r="J19" s="2"/>
      <c r="K19" s="30"/>
      <c r="L19" s="32"/>
      <c r="M19" s="22"/>
      <c r="N19" s="2">
        <f t="shared" si="4"/>
        <v>0</v>
      </c>
      <c r="O19" s="2"/>
      <c r="P19" s="2"/>
      <c r="Q19" s="2" t="str" cm="1">
        <f t="array" ref="Q19">_xlfn.IFS(P19="SI","RENOVADA",P19="","PENDIENTE",P19="NO","NO RENOVADA")</f>
        <v>PENDIENTE</v>
      </c>
      <c r="R19" s="2"/>
      <c r="T19" s="1"/>
      <c r="U19" s="1"/>
      <c r="V19" s="1"/>
      <c r="W19" s="1"/>
      <c r="X19" s="1"/>
      <c r="Y19" s="1"/>
      <c r="Z19" s="1"/>
      <c r="AA19" s="1"/>
      <c r="AB19" s="1"/>
    </row>
    <row r="20" spans="1:28" ht="14" x14ac:dyDescent="0.2">
      <c r="A20" s="1"/>
      <c r="B20" s="12"/>
      <c r="C20" s="12">
        <f t="shared" ca="1" si="0"/>
        <v>46100</v>
      </c>
      <c r="D20" s="12" t="str">
        <f t="shared" ca="1" si="3"/>
        <v>SI</v>
      </c>
      <c r="E20" s="2"/>
      <c r="F20" s="3"/>
      <c r="G20" s="2"/>
      <c r="H20" s="3"/>
      <c r="I20" s="2"/>
      <c r="J20" s="2"/>
      <c r="K20" s="30"/>
      <c r="L20" s="32"/>
      <c r="M20" s="22"/>
      <c r="N20" s="2">
        <f t="shared" si="4"/>
        <v>0</v>
      </c>
      <c r="O20" s="2"/>
      <c r="P20" s="2"/>
      <c r="Q20" s="2" t="str" cm="1">
        <f t="array" ref="Q20">_xlfn.IFS(P20="SI","RENOVADA",P20="","PENDIENTE",P20="NO","NO RENOVADA")</f>
        <v>PENDIENTE</v>
      </c>
      <c r="R20" s="2"/>
    </row>
    <row r="21" spans="1:28" ht="15.75" customHeight="1" x14ac:dyDescent="0.2">
      <c r="A21" s="1"/>
      <c r="B21" s="12"/>
      <c r="C21" s="12">
        <f t="shared" ca="1" si="0"/>
        <v>46100</v>
      </c>
      <c r="D21" s="12" t="str">
        <f t="shared" ca="1" si="3"/>
        <v>SI</v>
      </c>
      <c r="E21" s="2"/>
      <c r="F21" s="3"/>
      <c r="G21" s="2"/>
      <c r="H21" s="3"/>
      <c r="I21" s="2"/>
      <c r="J21" s="2"/>
      <c r="K21" s="30"/>
      <c r="L21" s="32"/>
      <c r="M21" s="22"/>
      <c r="N21" s="2">
        <f t="shared" si="4"/>
        <v>0</v>
      </c>
      <c r="O21" s="2"/>
      <c r="P21" s="2"/>
      <c r="Q21" s="2" t="str" cm="1">
        <f t="array" ref="Q21">_xlfn.IFS(P21="SI","RENOVADA",P21="","PENDIENTE",P21="NO","NO RENOVADA")</f>
        <v>PENDIENTE</v>
      </c>
      <c r="R21" s="2"/>
    </row>
    <row r="22" spans="1:28" ht="15.75" customHeight="1" x14ac:dyDescent="0.2">
      <c r="A22" s="1"/>
      <c r="B22" s="26"/>
      <c r="C22" s="12">
        <f t="shared" ca="1" si="0"/>
        <v>46100</v>
      </c>
      <c r="D22" s="12" t="str">
        <f t="shared" ca="1" si="3"/>
        <v>SI</v>
      </c>
      <c r="E22" s="27"/>
      <c r="F22" s="27"/>
      <c r="G22" s="27"/>
      <c r="H22" s="27"/>
      <c r="I22" s="27"/>
      <c r="J22" s="27"/>
      <c r="K22" s="31"/>
      <c r="L22" s="33"/>
      <c r="M22" s="24"/>
      <c r="N22" s="2">
        <f t="shared" si="4"/>
        <v>0</v>
      </c>
      <c r="O22" s="2"/>
      <c r="P22" s="2"/>
      <c r="Q22" s="2" t="str" cm="1">
        <f t="array" ref="Q22">_xlfn.IFS(P22="SI","RENOVADA",P22="","PENDIENTE",P22="NO","NO RENOVADA")</f>
        <v>PENDIENTE</v>
      </c>
      <c r="R22" s="27"/>
    </row>
    <row r="23" spans="1:28" ht="15.75" customHeight="1" x14ac:dyDescent="0.2">
      <c r="A23" s="1"/>
      <c r="B23" s="26"/>
      <c r="C23" s="12">
        <f t="shared" ca="1" si="0"/>
        <v>46100</v>
      </c>
      <c r="D23" s="12" t="str">
        <f t="shared" ca="1" si="3"/>
        <v>SI</v>
      </c>
      <c r="E23" s="27"/>
      <c r="F23" s="27"/>
      <c r="G23" s="27"/>
      <c r="H23" s="27"/>
      <c r="I23" s="27"/>
      <c r="J23" s="27"/>
      <c r="K23" s="31"/>
      <c r="L23" s="33"/>
      <c r="M23" s="24"/>
      <c r="N23" s="2">
        <f t="shared" si="4"/>
        <v>0</v>
      </c>
      <c r="O23" s="2"/>
      <c r="P23" s="2"/>
      <c r="Q23" s="2" t="str" cm="1">
        <f t="array" ref="Q23">_xlfn.IFS(P23="SI","RENOVADA",P23="","PENDIENTE",P23="NO","NO RENOVADA")</f>
        <v>PENDIENTE</v>
      </c>
      <c r="R23" s="27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">
      <c r="A24" s="1"/>
      <c r="B24" s="12"/>
      <c r="C24" s="12">
        <f t="shared" ca="1" si="0"/>
        <v>46100</v>
      </c>
      <c r="D24" s="12" t="str">
        <f t="shared" ca="1" si="3"/>
        <v>SI</v>
      </c>
      <c r="E24" s="2"/>
      <c r="F24" s="3"/>
      <c r="G24" s="2"/>
      <c r="H24" s="3"/>
      <c r="I24" s="2"/>
      <c r="J24" s="2"/>
      <c r="K24" s="30"/>
      <c r="L24" s="32"/>
      <c r="M24" s="22"/>
      <c r="N24" s="2">
        <f t="shared" si="4"/>
        <v>0</v>
      </c>
      <c r="O24" s="2"/>
      <c r="P24" s="2"/>
      <c r="Q24" s="2" t="str" cm="1">
        <f t="array" ref="Q24">_xlfn.IFS(P24="SI","RENOVADA",P24="","PENDIENTE",P24="NO","NO RENOVADA")</f>
        <v>PENDIENTE</v>
      </c>
      <c r="R24" s="2"/>
    </row>
    <row r="25" spans="1:28" ht="15.75" customHeight="1" x14ac:dyDescent="0.2">
      <c r="A25" s="1"/>
      <c r="B25" s="12"/>
      <c r="C25" s="12">
        <f t="shared" ca="1" si="0"/>
        <v>46100</v>
      </c>
      <c r="D25" s="12" t="str">
        <f t="shared" ca="1" si="3"/>
        <v>SI</v>
      </c>
      <c r="E25" s="2"/>
      <c r="F25" s="3"/>
      <c r="G25" s="2"/>
      <c r="H25" s="3"/>
      <c r="I25" s="2"/>
      <c r="J25" s="2"/>
      <c r="K25" s="30"/>
      <c r="L25" s="32"/>
      <c r="M25" s="22"/>
      <c r="N25" s="2">
        <f t="shared" si="4"/>
        <v>0</v>
      </c>
      <c r="O25" s="2"/>
      <c r="P25" s="2"/>
      <c r="Q25" s="2" t="str" cm="1">
        <f t="array" ref="Q25">_xlfn.IFS(P25="SI","RENOVADA",P25="","PENDIENTE",P25="NO","NO RENOVADA")</f>
        <v>PENDIENTE</v>
      </c>
      <c r="R25" s="2"/>
    </row>
    <row r="26" spans="1:28" ht="15.75" customHeight="1" x14ac:dyDescent="0.2">
      <c r="A26" s="1"/>
      <c r="B26" s="12"/>
      <c r="C26" s="12">
        <f t="shared" ca="1" si="0"/>
        <v>46100</v>
      </c>
      <c r="D26" s="12" t="str">
        <f t="shared" ca="1" si="3"/>
        <v>SI</v>
      </c>
      <c r="E26" s="2"/>
      <c r="F26" s="3"/>
      <c r="G26" s="2"/>
      <c r="H26" s="2"/>
      <c r="I26" s="2"/>
      <c r="J26" s="2"/>
      <c r="K26" s="30"/>
      <c r="L26" s="32"/>
      <c r="M26" s="22"/>
      <c r="N26" s="2">
        <f t="shared" si="4"/>
        <v>0</v>
      </c>
      <c r="O26" s="2"/>
      <c r="P26" s="2"/>
      <c r="Q26" s="2" t="str" cm="1">
        <f t="array" ref="Q26">_xlfn.IFS(P26="SI","RENOVADA",P26="","PENDIENTE",P26="NO","NO RENOVADA")</f>
        <v>PENDIENTE</v>
      </c>
      <c r="R26" s="2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">
      <c r="A27" s="1"/>
      <c r="B27" s="12"/>
      <c r="C27" s="12">
        <f t="shared" ca="1" si="0"/>
        <v>46100</v>
      </c>
      <c r="D27" s="12" t="str">
        <f t="shared" ca="1" si="3"/>
        <v>SI</v>
      </c>
      <c r="E27" s="2"/>
      <c r="F27" s="3"/>
      <c r="G27" s="2"/>
      <c r="H27" s="3"/>
      <c r="I27" s="2"/>
      <c r="J27" s="2"/>
      <c r="K27" s="30"/>
      <c r="L27" s="32"/>
      <c r="M27" s="22"/>
      <c r="N27" s="2">
        <f t="shared" si="4"/>
        <v>0</v>
      </c>
      <c r="O27" s="2"/>
      <c r="P27" s="2"/>
      <c r="Q27" s="2" t="str" cm="1">
        <f t="array" ref="Q27">_xlfn.IFS(P27="SI","RENOVADA",P27="","PENDIENTE",P27="NO","NO RENOVADA")</f>
        <v>PENDIENTE</v>
      </c>
      <c r="R27" s="2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">
      <c r="A28" s="1"/>
      <c r="B28" s="12"/>
      <c r="C28" s="12">
        <f t="shared" ca="1" si="0"/>
        <v>46100</v>
      </c>
      <c r="D28" s="12" t="str">
        <f t="shared" ca="1" si="3"/>
        <v>SI</v>
      </c>
      <c r="E28" s="2"/>
      <c r="F28" s="3"/>
      <c r="G28" s="2"/>
      <c r="H28" s="3"/>
      <c r="I28" s="2"/>
      <c r="J28" s="2"/>
      <c r="K28" s="30"/>
      <c r="L28" s="32"/>
      <c r="M28" s="22"/>
      <c r="N28" s="2">
        <f t="shared" si="4"/>
        <v>0</v>
      </c>
      <c r="O28" s="2"/>
      <c r="P28" s="2"/>
      <c r="Q28" s="2" t="str" cm="1">
        <f t="array" ref="Q28">_xlfn.IFS(P28="SI","RENOVADA",P28="","PENDIENTE",P28="NO","NO RENOVADA")</f>
        <v>PENDIENTE</v>
      </c>
      <c r="R28" s="2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">
      <c r="A29" s="1"/>
      <c r="B29" s="12"/>
      <c r="C29" s="12">
        <f t="shared" ca="1" si="0"/>
        <v>46100</v>
      </c>
      <c r="D29" s="12" t="str">
        <f t="shared" ca="1" si="3"/>
        <v>SI</v>
      </c>
      <c r="E29" s="2"/>
      <c r="F29" s="3"/>
      <c r="G29" s="2"/>
      <c r="H29" s="2"/>
      <c r="I29" s="2"/>
      <c r="J29" s="2"/>
      <c r="K29" s="30"/>
      <c r="L29" s="32"/>
      <c r="M29" s="22"/>
      <c r="N29" s="2">
        <f t="shared" si="4"/>
        <v>0</v>
      </c>
      <c r="O29" s="2"/>
      <c r="P29" s="2"/>
      <c r="Q29" s="2" t="str" cm="1">
        <f t="array" ref="Q29">_xlfn.IFS(P29="SI","RENOVADA",P29="","PENDIENTE",P29="NO","NO RENOVADA")</f>
        <v>PENDIENTE</v>
      </c>
      <c r="R29" s="2"/>
    </row>
    <row r="30" spans="1:28" ht="15.75" customHeight="1" x14ac:dyDescent="0.2">
      <c r="A30" s="1"/>
      <c r="B30" s="12"/>
      <c r="C30" s="12">
        <f t="shared" ca="1" si="0"/>
        <v>46100</v>
      </c>
      <c r="D30" s="12" t="str">
        <f t="shared" ca="1" si="3"/>
        <v>SI</v>
      </c>
      <c r="E30" s="2"/>
      <c r="F30" s="3"/>
      <c r="G30" s="2"/>
      <c r="H30" s="3"/>
      <c r="I30" s="2"/>
      <c r="J30" s="2"/>
      <c r="K30" s="30"/>
      <c r="L30" s="32"/>
      <c r="M30" s="22"/>
      <c r="N30" s="2">
        <f t="shared" si="4"/>
        <v>0</v>
      </c>
      <c r="O30" s="2"/>
      <c r="P30" s="2"/>
      <c r="Q30" s="2" t="str" cm="1">
        <f t="array" ref="Q30">_xlfn.IFS(P30="SI","RENOVADA",P30="","PENDIENTE",P30="NO","NO RENOVADA")</f>
        <v>PENDIENTE</v>
      </c>
      <c r="R30" s="2"/>
    </row>
    <row r="31" spans="1:28" ht="15.75" customHeight="1" x14ac:dyDescent="0.2">
      <c r="A31" s="1"/>
      <c r="B31" s="12"/>
      <c r="C31" s="12">
        <f t="shared" ca="1" si="0"/>
        <v>46100</v>
      </c>
      <c r="D31" s="12" t="str">
        <f t="shared" ca="1" si="3"/>
        <v>SI</v>
      </c>
      <c r="E31" s="2"/>
      <c r="F31" s="3"/>
      <c r="G31" s="2"/>
      <c r="H31" s="3"/>
      <c r="I31" s="2"/>
      <c r="J31" s="2"/>
      <c r="K31" s="30"/>
      <c r="L31" s="32"/>
      <c r="M31" s="22"/>
      <c r="N31" s="2">
        <f t="shared" si="4"/>
        <v>0</v>
      </c>
      <c r="O31" s="2"/>
      <c r="P31" s="2"/>
      <c r="Q31" s="2" t="str" cm="1">
        <f t="array" ref="Q31">_xlfn.IFS(P31="SI","RENOVADA",P31="","PENDIENTE",P31="NO","NO RENOVADA")</f>
        <v>PENDIENTE</v>
      </c>
      <c r="R31" s="2"/>
    </row>
    <row r="32" spans="1:28" ht="15.75" customHeight="1" x14ac:dyDescent="0.2">
      <c r="A32" s="1"/>
      <c r="B32" s="12"/>
      <c r="C32" s="12">
        <f t="shared" ca="1" si="0"/>
        <v>46100</v>
      </c>
      <c r="D32" s="12" t="str">
        <f t="shared" ca="1" si="3"/>
        <v>SI</v>
      </c>
      <c r="E32" s="2"/>
      <c r="F32" s="3"/>
      <c r="G32" s="2"/>
      <c r="H32" s="3"/>
      <c r="I32" s="2"/>
      <c r="J32" s="2"/>
      <c r="K32" s="30"/>
      <c r="L32" s="32"/>
      <c r="M32" s="22"/>
      <c r="N32" s="2">
        <f t="shared" si="4"/>
        <v>0</v>
      </c>
      <c r="O32" s="2"/>
      <c r="P32" s="2"/>
      <c r="Q32" s="2" t="str" cm="1">
        <f t="array" ref="Q32">_xlfn.IFS(P32="SI","RENOVADA",P32="","PENDIENTE",P32="NO","NO RENOVADA")</f>
        <v>PENDIENTE</v>
      </c>
      <c r="R32" s="2"/>
    </row>
    <row r="33" spans="1:28" ht="15.75" customHeight="1" x14ac:dyDescent="0.2">
      <c r="A33" s="1"/>
      <c r="B33" s="12"/>
      <c r="C33" s="12">
        <f t="shared" ca="1" si="0"/>
        <v>46100</v>
      </c>
      <c r="D33" s="12" t="str">
        <f t="shared" ca="1" si="3"/>
        <v>SI</v>
      </c>
      <c r="E33" s="2"/>
      <c r="F33" s="3"/>
      <c r="G33" s="2"/>
      <c r="H33" s="3"/>
      <c r="I33" s="2"/>
      <c r="J33" s="2"/>
      <c r="K33" s="30"/>
      <c r="L33" s="32"/>
      <c r="M33" s="22"/>
      <c r="N33" s="2">
        <f t="shared" si="4"/>
        <v>0</v>
      </c>
      <c r="O33" s="2"/>
      <c r="P33" s="2"/>
      <c r="Q33" s="2" t="str" cm="1">
        <f t="array" ref="Q33">_xlfn.IFS(P33="SI","RENOVADA",P33="","PENDIENTE",P33="NO","NO RENOVADA")</f>
        <v>PENDIENTE</v>
      </c>
      <c r="R33" s="27"/>
    </row>
    <row r="34" spans="1:28" ht="15.75" customHeight="1" x14ac:dyDescent="0.2">
      <c r="A34" s="1"/>
      <c r="B34" s="12"/>
      <c r="C34" s="12">
        <f t="shared" ca="1" si="0"/>
        <v>46100</v>
      </c>
      <c r="D34" s="12" t="str">
        <f t="shared" ca="1" si="3"/>
        <v>SI</v>
      </c>
      <c r="E34" s="2"/>
      <c r="F34" s="3"/>
      <c r="G34" s="2"/>
      <c r="H34" s="2"/>
      <c r="I34" s="2"/>
      <c r="J34" s="2"/>
      <c r="K34" s="30"/>
      <c r="L34" s="32"/>
      <c r="M34" s="22"/>
      <c r="N34" s="2">
        <f t="shared" si="4"/>
        <v>0</v>
      </c>
      <c r="O34" s="2"/>
      <c r="P34" s="2"/>
      <c r="Q34" s="2" t="str" cm="1">
        <f t="array" ref="Q34">_xlfn.IFS(P34="SI","RENOVADA",P34="","PENDIENTE",P34="NO","NO RENOVADA")</f>
        <v>PENDIENTE</v>
      </c>
      <c r="R34" s="2"/>
    </row>
    <row r="35" spans="1:28" ht="15.75" customHeight="1" x14ac:dyDescent="0.2">
      <c r="A35" s="1"/>
      <c r="B35" s="12"/>
      <c r="C35" s="12">
        <f t="shared" ref="C35:C66" ca="1" si="5">TODAY()</f>
        <v>46100</v>
      </c>
      <c r="D35" s="12" t="str">
        <f t="shared" ref="D35:D66" ca="1" si="6">IF(B35&lt;=C35,"SI","NO")</f>
        <v>SI</v>
      </c>
      <c r="E35" s="2"/>
      <c r="F35" s="3"/>
      <c r="G35" s="2"/>
      <c r="H35" s="3"/>
      <c r="I35" s="2"/>
      <c r="J35" s="2"/>
      <c r="K35" s="30"/>
      <c r="L35" s="32"/>
      <c r="M35" s="22"/>
      <c r="N35" s="2">
        <f t="shared" ref="N35:N66" si="7">IF(P35="SI","",O35)</f>
        <v>0</v>
      </c>
      <c r="O35" s="2"/>
      <c r="P35" s="2"/>
      <c r="Q35" s="2" t="str" cm="1">
        <f t="array" ref="Q35">_xlfn.IFS(P35="SI","RENOVADA",P35="","PENDIENTE",P35="NO","NO RENOVADA")</f>
        <v>PENDIENTE</v>
      </c>
      <c r="R35" s="25"/>
    </row>
    <row r="36" spans="1:28" ht="15.75" customHeight="1" x14ac:dyDescent="0.2">
      <c r="A36" s="1"/>
      <c r="B36" s="26"/>
      <c r="C36" s="12">
        <f t="shared" ca="1" si="5"/>
        <v>46100</v>
      </c>
      <c r="D36" s="12" t="str">
        <f t="shared" ca="1" si="6"/>
        <v>SI</v>
      </c>
      <c r="E36" s="27"/>
      <c r="F36" s="27"/>
      <c r="G36" s="27"/>
      <c r="H36" s="27"/>
      <c r="I36" s="27"/>
      <c r="J36" s="27"/>
      <c r="K36" s="31"/>
      <c r="L36" s="33"/>
      <c r="M36" s="24"/>
      <c r="N36" s="2">
        <f t="shared" si="7"/>
        <v>0</v>
      </c>
      <c r="O36" s="2"/>
      <c r="P36" s="2"/>
      <c r="Q36" s="2" t="str" cm="1">
        <f t="array" ref="Q36">_xlfn.IFS(P36="SI","RENOVADA",P36="","PENDIENTE",P36="NO","NO RENOVADA")</f>
        <v>PENDIENTE</v>
      </c>
      <c r="R36" s="27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2">
      <c r="A37" s="1"/>
      <c r="B37" s="12"/>
      <c r="C37" s="12">
        <f t="shared" ca="1" si="5"/>
        <v>46100</v>
      </c>
      <c r="D37" s="12" t="str">
        <f t="shared" ca="1" si="6"/>
        <v>SI</v>
      </c>
      <c r="E37" s="2"/>
      <c r="F37" s="3"/>
      <c r="G37" s="2"/>
      <c r="H37" s="2"/>
      <c r="I37" s="2"/>
      <c r="J37" s="2"/>
      <c r="K37" s="30"/>
      <c r="L37" s="32"/>
      <c r="M37" s="22"/>
      <c r="N37" s="2">
        <f t="shared" si="7"/>
        <v>0</v>
      </c>
      <c r="O37" s="2"/>
      <c r="P37" s="2"/>
      <c r="Q37" s="2" t="str" cm="1">
        <f t="array" ref="Q37">_xlfn.IFS(P37="SI","RENOVADA",P37="","PENDIENTE",P37="NO","NO RENOVADA")</f>
        <v>PENDIENTE</v>
      </c>
      <c r="R37" s="2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">
      <c r="A38" s="1"/>
      <c r="B38" s="12"/>
      <c r="C38" s="12">
        <f t="shared" ca="1" si="5"/>
        <v>46100</v>
      </c>
      <c r="D38" s="12" t="str">
        <f t="shared" ca="1" si="6"/>
        <v>SI</v>
      </c>
      <c r="E38" s="2"/>
      <c r="F38" s="3"/>
      <c r="G38" s="2"/>
      <c r="H38" s="2"/>
      <c r="I38" s="2"/>
      <c r="J38" s="2"/>
      <c r="K38" s="30"/>
      <c r="L38" s="32"/>
      <c r="M38" s="22"/>
      <c r="N38" s="2">
        <f t="shared" si="7"/>
        <v>0</v>
      </c>
      <c r="O38" s="2"/>
      <c r="P38" s="2"/>
      <c r="Q38" s="2" t="str" cm="1">
        <f t="array" ref="Q38">_xlfn.IFS(P38="SI","RENOVADA",P38="","PENDIENTE",P38="NO","NO RENOVADA")</f>
        <v>PENDIENTE</v>
      </c>
      <c r="R38" s="2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2">
      <c r="A39" s="1"/>
      <c r="B39" s="12"/>
      <c r="C39" s="12">
        <f t="shared" ca="1" si="5"/>
        <v>46100</v>
      </c>
      <c r="D39" s="12" t="str">
        <f t="shared" ca="1" si="6"/>
        <v>SI</v>
      </c>
      <c r="E39" s="2"/>
      <c r="F39" s="3"/>
      <c r="G39" s="2"/>
      <c r="H39" s="3"/>
      <c r="I39" s="2"/>
      <c r="J39" s="2"/>
      <c r="K39" s="30"/>
      <c r="L39" s="32"/>
      <c r="M39" s="22"/>
      <c r="N39" s="2">
        <f t="shared" si="7"/>
        <v>0</v>
      </c>
      <c r="O39" s="2"/>
      <c r="P39" s="2"/>
      <c r="Q39" s="2" t="str" cm="1">
        <f t="array" ref="Q39">_xlfn.IFS(P39="SI","RENOVADA",P39="","PENDIENTE",P39="NO","NO RENOVADA")</f>
        <v>PENDIENTE</v>
      </c>
      <c r="R39" s="2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">
      <c r="A40" s="1"/>
      <c r="B40" s="12"/>
      <c r="C40" s="12">
        <f t="shared" ca="1" si="5"/>
        <v>46100</v>
      </c>
      <c r="D40" s="12" t="str">
        <f t="shared" ca="1" si="6"/>
        <v>SI</v>
      </c>
      <c r="E40" s="2"/>
      <c r="F40" s="3"/>
      <c r="G40" s="2"/>
      <c r="H40" s="3"/>
      <c r="I40" s="2"/>
      <c r="J40" s="2"/>
      <c r="K40" s="30"/>
      <c r="L40" s="32"/>
      <c r="M40" s="22"/>
      <c r="N40" s="2">
        <f t="shared" si="7"/>
        <v>0</v>
      </c>
      <c r="O40" s="2"/>
      <c r="P40" s="2"/>
      <c r="Q40" s="2" t="str" cm="1">
        <f t="array" ref="Q40">_xlfn.IFS(P40="SI","RENOVADA",P40="","PENDIENTE",P40="NO","NO RENOVADA")</f>
        <v>PENDIENTE</v>
      </c>
      <c r="R40" s="25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2">
      <c r="A41" s="1"/>
      <c r="B41" s="12"/>
      <c r="C41" s="12">
        <f t="shared" ca="1" si="5"/>
        <v>46100</v>
      </c>
      <c r="D41" s="12" t="str">
        <f t="shared" ca="1" si="6"/>
        <v>SI</v>
      </c>
      <c r="E41" s="2"/>
      <c r="F41" s="3"/>
      <c r="G41" s="2"/>
      <c r="H41" s="2"/>
      <c r="I41" s="2"/>
      <c r="J41" s="2"/>
      <c r="K41" s="30"/>
      <c r="L41" s="32"/>
      <c r="M41" s="22"/>
      <c r="N41" s="2">
        <f t="shared" si="7"/>
        <v>0</v>
      </c>
      <c r="O41" s="2"/>
      <c r="P41" s="2"/>
      <c r="Q41" s="2" t="str" cm="1">
        <f t="array" ref="Q41">_xlfn.IFS(P41="SI","RENOVADA",P41="","PENDIENTE",P41="NO","NO RENOVADA")</f>
        <v>PENDIENTE</v>
      </c>
      <c r="R41" s="2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2">
      <c r="A42" s="1"/>
      <c r="B42" s="12"/>
      <c r="C42" s="12">
        <f t="shared" ca="1" si="5"/>
        <v>46100</v>
      </c>
      <c r="D42" s="12" t="str">
        <f t="shared" ca="1" si="6"/>
        <v>SI</v>
      </c>
      <c r="E42" s="2"/>
      <c r="F42" s="3"/>
      <c r="G42" s="2"/>
      <c r="H42" s="3"/>
      <c r="I42" s="2"/>
      <c r="J42" s="2"/>
      <c r="K42" s="30"/>
      <c r="L42" s="32"/>
      <c r="M42" s="22"/>
      <c r="N42" s="2">
        <f t="shared" si="7"/>
        <v>0</v>
      </c>
      <c r="O42" s="2"/>
      <c r="P42" s="2"/>
      <c r="Q42" s="2" t="str" cm="1">
        <f t="array" ref="Q42">_xlfn.IFS(P42="SI","RENOVADA",P42="","PENDIENTE",P42="NO","NO RENOVADA")</f>
        <v>PENDIENTE</v>
      </c>
      <c r="R42" s="2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">
      <c r="A43" s="1"/>
      <c r="B43" s="12"/>
      <c r="C43" s="12">
        <f t="shared" ca="1" si="5"/>
        <v>46100</v>
      </c>
      <c r="D43" s="12" t="str">
        <f t="shared" ca="1" si="6"/>
        <v>SI</v>
      </c>
      <c r="E43" s="2"/>
      <c r="F43" s="3"/>
      <c r="G43" s="2"/>
      <c r="H43" s="2"/>
      <c r="I43" s="2"/>
      <c r="J43" s="2"/>
      <c r="K43" s="30"/>
      <c r="L43" s="32"/>
      <c r="M43" s="2"/>
      <c r="N43" s="2">
        <f t="shared" si="7"/>
        <v>0</v>
      </c>
      <c r="O43" s="2"/>
      <c r="P43" s="2"/>
      <c r="Q43" s="2" t="str" cm="1">
        <f t="array" ref="Q43">_xlfn.IFS(P43="SI","RENOVADA",P43="","PENDIENTE",P43="NO","NO RENOVADA")</f>
        <v>PENDIENTE</v>
      </c>
      <c r="R43" s="2"/>
    </row>
    <row r="44" spans="1:28" ht="15.75" customHeight="1" x14ac:dyDescent="0.2">
      <c r="A44" s="1"/>
      <c r="B44" s="12"/>
      <c r="C44" s="12">
        <f t="shared" ca="1" si="5"/>
        <v>46100</v>
      </c>
      <c r="D44" s="12" t="str">
        <f t="shared" ca="1" si="6"/>
        <v>SI</v>
      </c>
      <c r="E44" s="2"/>
      <c r="F44" s="3"/>
      <c r="G44" s="2"/>
      <c r="H44" s="3"/>
      <c r="I44" s="2"/>
      <c r="J44" s="2"/>
      <c r="K44" s="30"/>
      <c r="L44" s="32"/>
      <c r="M44" s="22"/>
      <c r="N44" s="2">
        <f t="shared" si="7"/>
        <v>0</v>
      </c>
      <c r="O44" s="2"/>
      <c r="P44" s="2"/>
      <c r="Q44" s="2" t="str" cm="1">
        <f t="array" ref="Q44">_xlfn.IFS(P44="SI","RENOVADA",P44="","PENDIENTE",P44="NO","NO RENOVADA")</f>
        <v>PENDIENTE</v>
      </c>
      <c r="R44" s="2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">
      <c r="A45" s="1"/>
      <c r="B45" s="26"/>
      <c r="C45" s="12">
        <f t="shared" ca="1" si="5"/>
        <v>46100</v>
      </c>
      <c r="D45" s="12" t="str">
        <f t="shared" ca="1" si="6"/>
        <v>SI</v>
      </c>
      <c r="E45" s="27"/>
      <c r="F45" s="27"/>
      <c r="G45" s="27"/>
      <c r="H45" s="27"/>
      <c r="I45" s="27"/>
      <c r="J45" s="27"/>
      <c r="K45" s="31"/>
      <c r="L45" s="33"/>
      <c r="M45" s="24"/>
      <c r="N45" s="2">
        <f t="shared" si="7"/>
        <v>0</v>
      </c>
      <c r="O45" s="2"/>
      <c r="P45" s="2"/>
      <c r="Q45" s="2" t="str" cm="1">
        <f t="array" ref="Q45">_xlfn.IFS(P45="SI","RENOVADA",P45="","PENDIENTE",P45="NO","NO RENOVADA")</f>
        <v>PENDIENTE</v>
      </c>
      <c r="R45" s="27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2">
      <c r="A46" s="1"/>
      <c r="B46" s="26"/>
      <c r="C46" s="12">
        <f t="shared" ca="1" si="5"/>
        <v>46100</v>
      </c>
      <c r="D46" s="12" t="str">
        <f t="shared" ca="1" si="6"/>
        <v>SI</v>
      </c>
      <c r="E46" s="27"/>
      <c r="F46" s="27"/>
      <c r="G46" s="27"/>
      <c r="H46" s="27"/>
      <c r="I46" s="27"/>
      <c r="J46" s="27"/>
      <c r="K46" s="31"/>
      <c r="L46" s="33"/>
      <c r="M46" s="24"/>
      <c r="N46" s="2">
        <f t="shared" si="7"/>
        <v>0</v>
      </c>
      <c r="O46" s="2"/>
      <c r="P46" s="2"/>
      <c r="Q46" s="2" t="str" cm="1">
        <f t="array" ref="Q46">_xlfn.IFS(P46="SI","RENOVADA",P46="","PENDIENTE",P46="NO","NO RENOVADA")</f>
        <v>PENDIENTE</v>
      </c>
      <c r="R46" s="27"/>
    </row>
    <row r="47" spans="1:28" ht="15.75" customHeight="1" x14ac:dyDescent="0.2">
      <c r="A47" s="1"/>
      <c r="B47" s="26"/>
      <c r="C47" s="12">
        <f t="shared" ca="1" si="5"/>
        <v>46100</v>
      </c>
      <c r="D47" s="12" t="str">
        <f t="shared" ca="1" si="6"/>
        <v>SI</v>
      </c>
      <c r="E47" s="27"/>
      <c r="F47" s="27"/>
      <c r="G47" s="27"/>
      <c r="H47" s="27"/>
      <c r="I47" s="27"/>
      <c r="J47" s="27"/>
      <c r="K47" s="31"/>
      <c r="L47" s="33"/>
      <c r="M47" s="24"/>
      <c r="N47" s="2">
        <f t="shared" si="7"/>
        <v>0</v>
      </c>
      <c r="O47" s="2"/>
      <c r="P47" s="2"/>
      <c r="Q47" s="2" t="str" cm="1">
        <f t="array" ref="Q47">_xlfn.IFS(P47="SI","RENOVADA",P47="","PENDIENTE",P47="NO","NO RENOVADA")</f>
        <v>PENDIENTE</v>
      </c>
    </row>
    <row r="48" spans="1:28" ht="15.75" customHeight="1" x14ac:dyDescent="0.2">
      <c r="A48" s="1"/>
      <c r="B48" s="26"/>
      <c r="C48" s="12">
        <f t="shared" ca="1" si="5"/>
        <v>46100</v>
      </c>
      <c r="D48" s="12" t="str">
        <f t="shared" ca="1" si="6"/>
        <v>SI</v>
      </c>
      <c r="E48" s="27"/>
      <c r="F48" s="27"/>
      <c r="G48" s="27"/>
      <c r="H48" s="27"/>
      <c r="I48" s="27"/>
      <c r="J48" s="27"/>
      <c r="K48" s="31"/>
      <c r="L48" s="33"/>
      <c r="M48" s="24"/>
      <c r="N48" s="2">
        <f t="shared" si="7"/>
        <v>0</v>
      </c>
      <c r="O48" s="2"/>
      <c r="P48" s="2"/>
      <c r="Q48" s="2" t="str" cm="1">
        <f t="array" ref="Q48">_xlfn.IFS(P48="SI","RENOVADA",P48="","PENDIENTE",P48="NO","NO RENOVADA")</f>
        <v>PENDIENTE</v>
      </c>
      <c r="R48" s="27"/>
    </row>
    <row r="49" spans="1:28" ht="15.75" customHeight="1" x14ac:dyDescent="0.2">
      <c r="A49" s="1"/>
      <c r="B49" s="12"/>
      <c r="C49" s="12">
        <f t="shared" ca="1" si="5"/>
        <v>46100</v>
      </c>
      <c r="D49" s="12" t="str">
        <f t="shared" ca="1" si="6"/>
        <v>SI</v>
      </c>
      <c r="E49" s="2"/>
      <c r="F49" s="3"/>
      <c r="G49" s="2"/>
      <c r="H49" s="3"/>
      <c r="I49" s="2"/>
      <c r="J49" s="2"/>
      <c r="K49" s="30"/>
      <c r="L49" s="32"/>
      <c r="M49" s="22"/>
      <c r="N49" s="2">
        <f t="shared" si="7"/>
        <v>0</v>
      </c>
      <c r="O49" s="2"/>
      <c r="P49" s="2"/>
      <c r="Q49" s="2" t="str" cm="1">
        <f t="array" ref="Q49">_xlfn.IFS(P49="SI","RENOVADA",P49="","PENDIENTE",P49="NO","NO RENOVADA")</f>
        <v>PENDIENTE</v>
      </c>
      <c r="R49" s="2"/>
    </row>
    <row r="50" spans="1:28" ht="15.75" customHeight="1" x14ac:dyDescent="0.2">
      <c r="A50" s="1"/>
      <c r="B50" s="12"/>
      <c r="C50" s="12">
        <f t="shared" ca="1" si="5"/>
        <v>46100</v>
      </c>
      <c r="D50" s="12" t="str">
        <f t="shared" ca="1" si="6"/>
        <v>SI</v>
      </c>
      <c r="E50" s="2"/>
      <c r="F50" s="3"/>
      <c r="G50" s="2"/>
      <c r="H50" s="3"/>
      <c r="I50" s="2"/>
      <c r="J50" s="2"/>
      <c r="K50" s="30"/>
      <c r="L50" s="32"/>
      <c r="M50" s="22"/>
      <c r="N50" s="2">
        <f t="shared" si="7"/>
        <v>0</v>
      </c>
      <c r="O50" s="2"/>
      <c r="P50" s="2"/>
      <c r="Q50" s="2" t="str" cm="1">
        <f t="array" ref="Q50">_xlfn.IFS(P50="SI","RENOVADA",P50="","PENDIENTE",P50="NO","NO RENOVADA")</f>
        <v>PENDIENTE</v>
      </c>
      <c r="R50" s="2"/>
    </row>
    <row r="51" spans="1:28" ht="15.75" customHeight="1" x14ac:dyDescent="0.2">
      <c r="A51" s="1"/>
      <c r="B51" s="26"/>
      <c r="C51" s="12">
        <f t="shared" ca="1" si="5"/>
        <v>46100</v>
      </c>
      <c r="D51" s="12" t="str">
        <f t="shared" ca="1" si="6"/>
        <v>SI</v>
      </c>
      <c r="E51" s="27"/>
      <c r="F51" s="27"/>
      <c r="G51" s="27"/>
      <c r="H51" s="27"/>
      <c r="I51" s="27"/>
      <c r="J51" s="27"/>
      <c r="K51" s="31"/>
      <c r="L51" s="33"/>
      <c r="M51" s="24"/>
      <c r="N51" s="2">
        <f t="shared" si="7"/>
        <v>0</v>
      </c>
      <c r="O51" s="2"/>
      <c r="P51" s="2"/>
      <c r="Q51" s="2" t="str" cm="1">
        <f t="array" ref="Q51">_xlfn.IFS(P51="SI","RENOVADA",P51="","PENDIENTE",P51="NO","NO RENOVADA")</f>
        <v>PENDIENTE</v>
      </c>
      <c r="R51" s="27"/>
    </row>
    <row r="52" spans="1:28" ht="15.75" customHeight="1" x14ac:dyDescent="0.2">
      <c r="A52" s="1"/>
      <c r="B52" s="12"/>
      <c r="C52" s="12">
        <f t="shared" ca="1" si="5"/>
        <v>46100</v>
      </c>
      <c r="D52" s="12" t="str">
        <f t="shared" ca="1" si="6"/>
        <v>SI</v>
      </c>
      <c r="E52" s="27"/>
      <c r="F52" s="27"/>
      <c r="G52" s="27"/>
      <c r="H52" s="27"/>
      <c r="I52" s="27"/>
      <c r="J52" s="27"/>
      <c r="K52" s="31"/>
      <c r="L52" s="33"/>
      <c r="M52" s="24"/>
      <c r="N52" s="2">
        <f t="shared" si="7"/>
        <v>0</v>
      </c>
      <c r="O52" s="2"/>
      <c r="P52" s="2"/>
      <c r="Q52" s="2" t="str" cm="1">
        <f t="array" ref="Q52">_xlfn.IFS(P52="SI","RENOVADA",P52="","PENDIENTE",P52="NO","NO RENOVADA")</f>
        <v>PENDIENTE</v>
      </c>
      <c r="R52" s="27"/>
    </row>
    <row r="53" spans="1:28" ht="15.75" customHeight="1" x14ac:dyDescent="0.2">
      <c r="A53" s="1"/>
      <c r="B53" s="12"/>
      <c r="C53" s="12">
        <f t="shared" ca="1" si="5"/>
        <v>46100</v>
      </c>
      <c r="D53" s="12" t="str">
        <f t="shared" ca="1" si="6"/>
        <v>SI</v>
      </c>
      <c r="E53" s="2"/>
      <c r="F53" s="3"/>
      <c r="G53" s="2"/>
      <c r="H53" s="3"/>
      <c r="I53" s="2"/>
      <c r="J53" s="2"/>
      <c r="K53" s="30"/>
      <c r="L53" s="32"/>
      <c r="M53" s="22"/>
      <c r="N53" s="2">
        <f t="shared" si="7"/>
        <v>0</v>
      </c>
      <c r="O53" s="2"/>
      <c r="P53" s="2"/>
      <c r="Q53" s="2" t="str" cm="1">
        <f t="array" ref="Q53">_xlfn.IFS(P53="SI","RENOVADA",P53="","PENDIENTE",P53="NO","NO RENOVADA")</f>
        <v>PENDIENTE</v>
      </c>
      <c r="R53" s="2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">
      <c r="A54" s="1"/>
      <c r="B54" s="26"/>
      <c r="C54" s="12">
        <f t="shared" ca="1" si="5"/>
        <v>46100</v>
      </c>
      <c r="D54" s="12" t="str">
        <f t="shared" ca="1" si="6"/>
        <v>SI</v>
      </c>
      <c r="E54" s="2"/>
      <c r="F54" s="3"/>
      <c r="G54" s="2"/>
      <c r="H54" s="2"/>
      <c r="I54" s="2"/>
      <c r="J54" s="2"/>
      <c r="K54" s="30"/>
      <c r="L54" s="32"/>
      <c r="M54" s="22"/>
      <c r="N54" s="2">
        <f t="shared" si="7"/>
        <v>0</v>
      </c>
      <c r="O54" s="2"/>
      <c r="P54" s="2"/>
      <c r="Q54" s="2" t="str" cm="1">
        <f t="array" ref="Q54">_xlfn.IFS(P54="SI","RENOVADA",P54="","PENDIENTE",P54="NO","NO RENOVADA")</f>
        <v>PENDIENTE</v>
      </c>
      <c r="R54" s="2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">
      <c r="A55" s="1"/>
      <c r="B55" s="12"/>
      <c r="C55" s="12">
        <f t="shared" ca="1" si="5"/>
        <v>46100</v>
      </c>
      <c r="D55" s="12" t="str">
        <f t="shared" ca="1" si="6"/>
        <v>SI</v>
      </c>
      <c r="E55" s="2"/>
      <c r="F55" s="3"/>
      <c r="G55" s="2"/>
      <c r="H55" s="3"/>
      <c r="I55" s="2"/>
      <c r="J55" s="2"/>
      <c r="K55" s="30"/>
      <c r="L55" s="32"/>
      <c r="M55" s="22"/>
      <c r="N55" s="2">
        <f t="shared" si="7"/>
        <v>0</v>
      </c>
      <c r="O55" s="2"/>
      <c r="P55" s="2"/>
      <c r="Q55" s="2" t="str" cm="1">
        <f t="array" ref="Q55">_xlfn.IFS(P55="SI","RENOVADA",P55="","PENDIENTE",P55="NO","NO RENOVADA")</f>
        <v>PENDIENTE</v>
      </c>
      <c r="R55" s="2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">
      <c r="A56" s="1"/>
      <c r="B56" s="12"/>
      <c r="C56" s="12">
        <f t="shared" ca="1" si="5"/>
        <v>46100</v>
      </c>
      <c r="D56" s="12" t="str">
        <f t="shared" ca="1" si="6"/>
        <v>SI</v>
      </c>
      <c r="E56" s="2"/>
      <c r="F56" s="3"/>
      <c r="G56" s="2"/>
      <c r="H56" s="3"/>
      <c r="I56" s="2"/>
      <c r="J56" s="2"/>
      <c r="K56" s="30"/>
      <c r="L56" s="32"/>
      <c r="M56" s="22"/>
      <c r="N56" s="2">
        <f t="shared" si="7"/>
        <v>0</v>
      </c>
      <c r="O56" s="2"/>
      <c r="P56" s="2"/>
      <c r="Q56" s="2" t="str" cm="1">
        <f t="array" ref="Q56">_xlfn.IFS(P56="SI","RENOVADA",P56="","PENDIENTE",P56="NO","NO RENOVADA")</f>
        <v>PENDIENTE</v>
      </c>
      <c r="R56" s="25"/>
    </row>
    <row r="57" spans="1:28" ht="15.75" customHeight="1" x14ac:dyDescent="0.2">
      <c r="A57" s="1"/>
      <c r="B57" s="26"/>
      <c r="C57" s="12">
        <f t="shared" ca="1" si="5"/>
        <v>46100</v>
      </c>
      <c r="D57" s="12" t="str">
        <f t="shared" ca="1" si="6"/>
        <v>SI</v>
      </c>
      <c r="E57" s="2"/>
      <c r="F57" s="3"/>
      <c r="G57" s="2"/>
      <c r="H57" s="2"/>
      <c r="I57" s="2"/>
      <c r="J57" s="2"/>
      <c r="K57" s="30"/>
      <c r="L57" s="32"/>
      <c r="M57" s="22"/>
      <c r="N57" s="2">
        <f t="shared" si="7"/>
        <v>0</v>
      </c>
      <c r="O57" s="2"/>
      <c r="P57" s="2"/>
      <c r="Q57" s="2" t="str" cm="1">
        <f t="array" ref="Q57">_xlfn.IFS(P57="SI","RENOVADA",P57="","PENDIENTE",P57="NO","NO RENOVADA")</f>
        <v>PENDIENTE</v>
      </c>
      <c r="R57" s="2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">
      <c r="A58" s="1"/>
      <c r="B58" s="12"/>
      <c r="C58" s="12">
        <f t="shared" ca="1" si="5"/>
        <v>46100</v>
      </c>
      <c r="D58" s="12" t="str">
        <f t="shared" ca="1" si="6"/>
        <v>SI</v>
      </c>
      <c r="E58" s="27"/>
      <c r="F58" s="27"/>
      <c r="G58" s="27"/>
      <c r="H58" s="27"/>
      <c r="I58" s="27"/>
      <c r="J58" s="27"/>
      <c r="K58" s="31"/>
      <c r="L58" s="33"/>
      <c r="M58" s="24"/>
      <c r="N58" s="2">
        <f t="shared" si="7"/>
        <v>0</v>
      </c>
      <c r="O58" s="2"/>
      <c r="P58" s="2"/>
      <c r="Q58" s="2" t="str" cm="1">
        <f t="array" ref="Q58">_xlfn.IFS(P58="SI","RENOVADA",P58="","PENDIENTE",P58="NO","NO RENOVADA")</f>
        <v>PENDIENTE</v>
      </c>
      <c r="R58" s="27"/>
    </row>
    <row r="59" spans="1:28" ht="15.75" customHeight="1" x14ac:dyDescent="0.2">
      <c r="A59" s="1"/>
      <c r="B59" s="12"/>
      <c r="C59" s="12">
        <f t="shared" ca="1" si="5"/>
        <v>46100</v>
      </c>
      <c r="D59" s="12" t="str">
        <f t="shared" ca="1" si="6"/>
        <v>SI</v>
      </c>
      <c r="E59" s="2"/>
      <c r="F59" s="3"/>
      <c r="G59" s="2"/>
      <c r="H59" s="3"/>
      <c r="I59" s="2"/>
      <c r="J59" s="2"/>
      <c r="K59" s="30"/>
      <c r="L59" s="32"/>
      <c r="M59" s="40"/>
      <c r="N59" s="2">
        <f t="shared" si="7"/>
        <v>0</v>
      </c>
      <c r="O59" s="2"/>
      <c r="P59" s="2"/>
      <c r="Q59" s="2" t="str" cm="1">
        <f t="array" ref="Q59">_xlfn.IFS(P59="SI","RENOVADA",P59="","PENDIENTE",P59="NO","NO RENOVADA")</f>
        <v>PENDIENTE</v>
      </c>
      <c r="R59" s="2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">
      <c r="A60" s="1"/>
      <c r="B60" s="26"/>
      <c r="C60" s="12">
        <f t="shared" ca="1" si="5"/>
        <v>46100</v>
      </c>
      <c r="D60" s="12" t="str">
        <f t="shared" ca="1" si="6"/>
        <v>SI</v>
      </c>
      <c r="E60" s="27"/>
      <c r="F60" s="27"/>
      <c r="G60" s="27"/>
      <c r="H60" s="27"/>
      <c r="I60" s="27"/>
      <c r="J60" s="27"/>
      <c r="K60" s="31"/>
      <c r="L60" s="33"/>
      <c r="M60" s="24"/>
      <c r="N60" s="2">
        <f t="shared" si="7"/>
        <v>0</v>
      </c>
      <c r="O60" s="2"/>
      <c r="P60" s="2"/>
      <c r="Q60" s="2" t="str" cm="1">
        <f t="array" ref="Q60">_xlfn.IFS(P60="SI","RENOVADA",P60="","PENDIENTE",P60="NO","NO RENOVADA")</f>
        <v>PENDIENTE</v>
      </c>
      <c r="R60" s="27"/>
    </row>
    <row r="61" spans="1:28" ht="15.75" customHeight="1" x14ac:dyDescent="0.2">
      <c r="A61" s="1"/>
      <c r="B61" s="12"/>
      <c r="C61" s="12">
        <f t="shared" ca="1" si="5"/>
        <v>46100</v>
      </c>
      <c r="D61" s="12" t="str">
        <f t="shared" ca="1" si="6"/>
        <v>SI</v>
      </c>
      <c r="E61" s="27"/>
      <c r="F61" s="27"/>
      <c r="G61" s="27"/>
      <c r="H61" s="27"/>
      <c r="I61" s="27"/>
      <c r="J61" s="27"/>
      <c r="K61" s="31"/>
      <c r="L61" s="33"/>
      <c r="M61" s="24"/>
      <c r="N61" s="2">
        <f t="shared" si="7"/>
        <v>0</v>
      </c>
      <c r="O61" s="2"/>
      <c r="P61" s="2"/>
      <c r="Q61" s="2" t="str" cm="1">
        <f t="array" ref="Q61">_xlfn.IFS(P61="SI","RENOVADA",P61="","PENDIENTE",P61="NO","NO RENOVADA")</f>
        <v>PENDIENTE</v>
      </c>
      <c r="R61" s="27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">
      <c r="A62" s="1"/>
      <c r="B62" s="12"/>
      <c r="C62" s="12">
        <f t="shared" ca="1" si="5"/>
        <v>46100</v>
      </c>
      <c r="D62" s="12" t="str">
        <f t="shared" ca="1" si="6"/>
        <v>SI</v>
      </c>
      <c r="E62" s="2"/>
      <c r="F62" s="3"/>
      <c r="G62" s="2"/>
      <c r="H62" s="3"/>
      <c r="I62" s="2"/>
      <c r="J62" s="2"/>
      <c r="K62" s="30"/>
      <c r="L62" s="32"/>
      <c r="M62" s="22"/>
      <c r="N62" s="2">
        <f t="shared" si="7"/>
        <v>0</v>
      </c>
      <c r="O62" s="2"/>
      <c r="P62" s="2"/>
      <c r="Q62" s="2" t="str" cm="1">
        <f t="array" ref="Q62">_xlfn.IFS(P62="SI","RENOVADA",P62="","PENDIENTE",P62="NO","NO RENOVADA")</f>
        <v>PENDIENTE</v>
      </c>
      <c r="R62" s="2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">
      <c r="A63" s="1"/>
      <c r="B63" s="26"/>
      <c r="C63" s="12">
        <f t="shared" ca="1" si="5"/>
        <v>46100</v>
      </c>
      <c r="D63" s="12" t="str">
        <f t="shared" ca="1" si="6"/>
        <v>SI</v>
      </c>
      <c r="E63" s="2"/>
      <c r="F63" s="3"/>
      <c r="G63" s="2"/>
      <c r="H63" s="3"/>
      <c r="I63" s="2"/>
      <c r="J63" s="2"/>
      <c r="K63" s="30"/>
      <c r="L63" s="32"/>
      <c r="M63" s="22"/>
      <c r="N63" s="2">
        <f t="shared" si="7"/>
        <v>0</v>
      </c>
      <c r="O63" s="2"/>
      <c r="P63" s="2"/>
      <c r="Q63" s="2" t="str" cm="1">
        <f t="array" ref="Q63">_xlfn.IFS(P63="SI","RENOVADA",P63="","PENDIENTE",P63="NO","NO RENOVADA")</f>
        <v>PENDIENTE</v>
      </c>
      <c r="R63" s="2"/>
    </row>
    <row r="64" spans="1:28" ht="15.75" customHeight="1" x14ac:dyDescent="0.2">
      <c r="A64" s="1"/>
      <c r="B64" s="12"/>
      <c r="C64" s="12">
        <f t="shared" ca="1" si="5"/>
        <v>46100</v>
      </c>
      <c r="D64" s="12" t="str">
        <f t="shared" ca="1" si="6"/>
        <v>SI</v>
      </c>
      <c r="E64" s="2"/>
      <c r="F64" s="3"/>
      <c r="G64" s="2"/>
      <c r="H64" s="3"/>
      <c r="I64" s="2"/>
      <c r="J64" s="2"/>
      <c r="K64" s="30"/>
      <c r="L64" s="32"/>
      <c r="M64" s="22"/>
      <c r="N64" s="2">
        <f t="shared" si="7"/>
        <v>0</v>
      </c>
      <c r="O64" s="2"/>
      <c r="P64" s="2"/>
      <c r="Q64" s="2" t="str" cm="1">
        <f t="array" ref="Q64">_xlfn.IFS(P64="SI","RENOVADA",P64="","PENDIENTE",P64="NO","NO RENOVADA")</f>
        <v>PENDIENTE</v>
      </c>
      <c r="R64" s="2"/>
    </row>
    <row r="65" spans="1:28" ht="15.75" customHeight="1" x14ac:dyDescent="0.2">
      <c r="A65" s="1"/>
      <c r="B65" s="12"/>
      <c r="C65" s="12">
        <f t="shared" ca="1" si="5"/>
        <v>46100</v>
      </c>
      <c r="D65" s="12" t="str">
        <f t="shared" ca="1" si="6"/>
        <v>SI</v>
      </c>
      <c r="E65" s="27"/>
      <c r="F65" s="27"/>
      <c r="G65" s="27"/>
      <c r="H65" s="27"/>
      <c r="I65" s="27"/>
      <c r="J65" s="27"/>
      <c r="K65" s="31"/>
      <c r="L65" s="33"/>
      <c r="M65" s="24"/>
      <c r="N65" s="2">
        <f t="shared" si="7"/>
        <v>0</v>
      </c>
      <c r="O65" s="2"/>
      <c r="P65" s="2"/>
      <c r="Q65" s="2" t="str" cm="1">
        <f t="array" ref="Q65">_xlfn.IFS(P65="SI","RENOVADA",P65="","PENDIENTE",P65="NO","NO RENOVADA")</f>
        <v>PENDIENTE</v>
      </c>
      <c r="R65" s="27"/>
    </row>
    <row r="66" spans="1:28" ht="15.75" customHeight="1" x14ac:dyDescent="0.2">
      <c r="A66" s="1"/>
      <c r="B66" s="26"/>
      <c r="C66" s="12">
        <f t="shared" ca="1" si="5"/>
        <v>46100</v>
      </c>
      <c r="D66" s="12" t="str">
        <f t="shared" ca="1" si="6"/>
        <v>SI</v>
      </c>
      <c r="E66" s="2"/>
      <c r="F66" s="3"/>
      <c r="G66" s="2"/>
      <c r="H66" s="2"/>
      <c r="I66" s="2"/>
      <c r="J66" s="2"/>
      <c r="K66" s="30"/>
      <c r="L66" s="32"/>
      <c r="M66" s="22"/>
      <c r="N66" s="2">
        <f t="shared" si="7"/>
        <v>0</v>
      </c>
      <c r="O66" s="2"/>
      <c r="P66" s="2"/>
      <c r="Q66" s="2" t="str" cm="1">
        <f t="array" ref="Q66">_xlfn.IFS(P66="SI","RENOVADA",P66="","PENDIENTE",P66="NO","NO RENOVADA")</f>
        <v>PENDIENTE</v>
      </c>
      <c r="R66" s="2"/>
    </row>
    <row r="67" spans="1:28" ht="15.75" customHeight="1" x14ac:dyDescent="0.2">
      <c r="A67" s="1"/>
      <c r="B67" s="12"/>
      <c r="C67" s="12">
        <f t="shared" ref="C67:C96" ca="1" si="8">TODAY()</f>
        <v>46100</v>
      </c>
      <c r="D67" s="12" t="str">
        <f t="shared" ref="D67:D96" ca="1" si="9">IF(B67&lt;=C67,"SI","NO")</f>
        <v>SI</v>
      </c>
      <c r="E67" s="2"/>
      <c r="F67" s="3"/>
      <c r="G67" s="2"/>
      <c r="H67" s="3"/>
      <c r="I67" s="2"/>
      <c r="J67" s="2"/>
      <c r="K67" s="30"/>
      <c r="L67" s="32"/>
      <c r="M67" s="22"/>
      <c r="N67" s="2">
        <f t="shared" ref="N67:N96" si="10">IF(P67="SI","",O67)</f>
        <v>0</v>
      </c>
      <c r="O67" s="2"/>
      <c r="P67" s="2"/>
      <c r="Q67" s="2" t="str" cm="1">
        <f t="array" ref="Q67">_xlfn.IFS(P67="SI","RENOVADA",P67="","PENDIENTE",P67="NO","NO RENOVADA")</f>
        <v>PENDIENTE</v>
      </c>
      <c r="R67" s="2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">
      <c r="A68" s="1"/>
      <c r="B68" s="12"/>
      <c r="C68" s="12">
        <f t="shared" ca="1" si="8"/>
        <v>46100</v>
      </c>
      <c r="D68" s="12" t="str">
        <f t="shared" ca="1" si="9"/>
        <v>SI</v>
      </c>
      <c r="E68" s="2"/>
      <c r="F68" s="3"/>
      <c r="G68" s="2"/>
      <c r="H68" s="3"/>
      <c r="I68" s="2"/>
      <c r="J68" s="2"/>
      <c r="K68" s="30"/>
      <c r="L68" s="32"/>
      <c r="M68" s="22"/>
      <c r="N68" s="2">
        <f t="shared" si="10"/>
        <v>0</v>
      </c>
      <c r="O68" s="2"/>
      <c r="P68" s="2"/>
      <c r="Q68" s="2" t="str" cm="1">
        <f t="array" ref="Q68">_xlfn.IFS(P68="SI","RENOVADA",P68="","PENDIENTE",P68="NO","NO RENOVADA")</f>
        <v>PENDIENTE</v>
      </c>
      <c r="R68" s="2"/>
    </row>
    <row r="69" spans="1:28" ht="15.75" customHeight="1" x14ac:dyDescent="0.2">
      <c r="A69" s="1"/>
      <c r="B69" s="26"/>
      <c r="C69" s="12">
        <f t="shared" ca="1" si="8"/>
        <v>46100</v>
      </c>
      <c r="D69" s="12" t="str">
        <f t="shared" ca="1" si="9"/>
        <v>SI</v>
      </c>
      <c r="E69" s="2"/>
      <c r="F69" s="3"/>
      <c r="G69" s="2"/>
      <c r="H69" s="3"/>
      <c r="I69" s="2"/>
      <c r="J69" s="2"/>
      <c r="K69" s="30"/>
      <c r="L69" s="32"/>
      <c r="M69" s="22"/>
      <c r="N69" s="2">
        <f t="shared" si="10"/>
        <v>0</v>
      </c>
      <c r="O69" s="2"/>
      <c r="P69" s="2"/>
      <c r="Q69" s="2" t="str" cm="1">
        <f t="array" ref="Q69">_xlfn.IFS(P69="SI","RENOVADA",P69="","PENDIENTE",P69="NO","NO RENOVADA")</f>
        <v>PENDIENTE</v>
      </c>
      <c r="R69" s="2"/>
    </row>
    <row r="70" spans="1:28" ht="15.75" customHeight="1" x14ac:dyDescent="0.2">
      <c r="A70" s="1"/>
      <c r="B70" s="12"/>
      <c r="C70" s="12">
        <f t="shared" ca="1" si="8"/>
        <v>46100</v>
      </c>
      <c r="D70" s="12" t="str">
        <f t="shared" ca="1" si="9"/>
        <v>SI</v>
      </c>
      <c r="E70" s="2"/>
      <c r="F70" s="3"/>
      <c r="G70" s="2"/>
      <c r="H70" s="3"/>
      <c r="I70" s="2"/>
      <c r="J70" s="2"/>
      <c r="K70" s="30"/>
      <c r="L70" s="32"/>
      <c r="M70" s="22"/>
      <c r="N70" s="2">
        <f t="shared" si="10"/>
        <v>0</v>
      </c>
      <c r="O70" s="2"/>
      <c r="P70" s="2"/>
      <c r="Q70" s="2" t="str" cm="1">
        <f t="array" ref="Q70">_xlfn.IFS(P70="SI","RENOVADA",P70="","PENDIENTE",P70="NO","NO RENOVADA")</f>
        <v>PENDIENTE</v>
      </c>
      <c r="R70" s="2"/>
    </row>
    <row r="71" spans="1:28" ht="15.75" customHeight="1" x14ac:dyDescent="0.2">
      <c r="A71" s="1"/>
      <c r="B71" s="12"/>
      <c r="C71" s="12">
        <f t="shared" ca="1" si="8"/>
        <v>46100</v>
      </c>
      <c r="D71" s="12" t="str">
        <f t="shared" ca="1" si="9"/>
        <v>SI</v>
      </c>
      <c r="E71" s="27"/>
      <c r="F71" s="27"/>
      <c r="G71" s="27"/>
      <c r="H71" s="27"/>
      <c r="I71" s="27"/>
      <c r="J71" s="27"/>
      <c r="K71" s="31"/>
      <c r="L71" s="33"/>
      <c r="M71" s="24"/>
      <c r="N71" s="2">
        <f t="shared" si="10"/>
        <v>0</v>
      </c>
      <c r="O71" s="2"/>
      <c r="P71" s="2"/>
      <c r="Q71" s="2" t="str" cm="1">
        <f t="array" ref="Q71">_xlfn.IFS(P71="SI","RENOVADA",P71="","PENDIENTE",P71="NO","NO RENOVADA")</f>
        <v>PENDIENTE</v>
      </c>
      <c r="R71" s="27"/>
    </row>
    <row r="72" spans="1:28" ht="15.75" customHeight="1" x14ac:dyDescent="0.2">
      <c r="A72" s="1"/>
      <c r="B72" s="26"/>
      <c r="C72" s="12">
        <f t="shared" ca="1" si="8"/>
        <v>46100</v>
      </c>
      <c r="D72" s="12" t="str">
        <f t="shared" ca="1" si="9"/>
        <v>SI</v>
      </c>
      <c r="E72" s="2"/>
      <c r="F72" s="3"/>
      <c r="G72" s="2"/>
      <c r="H72" s="3"/>
      <c r="I72" s="2"/>
      <c r="J72" s="2"/>
      <c r="K72" s="30"/>
      <c r="L72" s="32"/>
      <c r="M72" s="22"/>
      <c r="N72" s="2">
        <f t="shared" si="10"/>
        <v>0</v>
      </c>
      <c r="O72" s="2"/>
      <c r="P72" s="2"/>
      <c r="Q72" s="2" t="str" cm="1">
        <f t="array" ref="Q72">_xlfn.IFS(P72="SI","RENOVADA",P72="","PENDIENTE",P72="NO","NO RENOVADA")</f>
        <v>PENDIENTE</v>
      </c>
      <c r="R72" s="2"/>
    </row>
    <row r="73" spans="1:28" ht="15.75" customHeight="1" x14ac:dyDescent="0.2">
      <c r="A73" s="1"/>
      <c r="B73" s="12"/>
      <c r="C73" s="12">
        <f t="shared" ca="1" si="8"/>
        <v>46100</v>
      </c>
      <c r="D73" s="12" t="str">
        <f t="shared" ca="1" si="9"/>
        <v>SI</v>
      </c>
      <c r="E73" s="27"/>
      <c r="F73" s="27"/>
      <c r="G73" s="27"/>
      <c r="H73" s="27"/>
      <c r="I73" s="27"/>
      <c r="J73" s="27"/>
      <c r="K73" s="31"/>
      <c r="L73" s="33"/>
      <c r="M73" s="24"/>
      <c r="N73" s="2">
        <f t="shared" si="10"/>
        <v>0</v>
      </c>
      <c r="O73" s="2"/>
      <c r="P73" s="2"/>
      <c r="Q73" s="2" t="str" cm="1">
        <f t="array" ref="Q73">_xlfn.IFS(P73="SI","RENOVADA",P73="","PENDIENTE",P73="NO","NO RENOVADA")</f>
        <v>PENDIENTE</v>
      </c>
      <c r="R73" s="27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">
      <c r="A74" s="1"/>
      <c r="B74" s="12"/>
      <c r="C74" s="12">
        <f t="shared" ca="1" si="8"/>
        <v>46100</v>
      </c>
      <c r="D74" s="12" t="str">
        <f t="shared" ca="1" si="9"/>
        <v>SI</v>
      </c>
      <c r="E74" s="2"/>
      <c r="F74" s="3"/>
      <c r="G74" s="2"/>
      <c r="H74" s="3"/>
      <c r="I74" s="2"/>
      <c r="J74" s="2"/>
      <c r="K74" s="30"/>
      <c r="L74" s="32"/>
      <c r="M74" s="22"/>
      <c r="N74" s="2">
        <f t="shared" si="10"/>
        <v>0</v>
      </c>
      <c r="O74" s="2"/>
      <c r="P74" s="2"/>
      <c r="Q74" s="2" t="str" cm="1">
        <f t="array" ref="Q74">_xlfn.IFS(P74="SI","RENOVADA",P74="","PENDIENTE",P74="NO","NO RENOVADA")</f>
        <v>PENDIENTE</v>
      </c>
      <c r="R74" s="2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">
      <c r="A75" s="1"/>
      <c r="B75" s="12"/>
      <c r="C75" s="12">
        <f t="shared" ca="1" si="8"/>
        <v>46100</v>
      </c>
      <c r="D75" s="12" t="str">
        <f t="shared" ca="1" si="9"/>
        <v>SI</v>
      </c>
      <c r="E75" s="2"/>
      <c r="F75" s="3"/>
      <c r="G75" s="2"/>
      <c r="H75" s="2"/>
      <c r="I75" s="2"/>
      <c r="J75" s="2"/>
      <c r="K75" s="30"/>
      <c r="L75" s="32"/>
      <c r="M75" s="22"/>
      <c r="N75" s="2">
        <f t="shared" si="10"/>
        <v>0</v>
      </c>
      <c r="O75" s="2"/>
      <c r="P75" s="2"/>
      <c r="Q75" s="2" t="str" cm="1">
        <f t="array" ref="Q75">_xlfn.IFS(P75="SI","RENOVADA",P75="","PENDIENTE",P75="NO","NO RENOVADA")</f>
        <v>PENDIENTE</v>
      </c>
      <c r="R75" s="2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">
      <c r="A76" s="1"/>
      <c r="B76" s="26"/>
      <c r="C76" s="12">
        <f t="shared" ca="1" si="8"/>
        <v>46100</v>
      </c>
      <c r="D76" s="12" t="str">
        <f t="shared" ca="1" si="9"/>
        <v>SI</v>
      </c>
      <c r="E76" s="27"/>
      <c r="F76" s="27"/>
      <c r="G76" s="27"/>
      <c r="H76" s="27"/>
      <c r="I76" s="27"/>
      <c r="J76" s="27"/>
      <c r="K76" s="31"/>
      <c r="L76" s="33"/>
      <c r="M76" s="24"/>
      <c r="N76" s="2">
        <f t="shared" si="10"/>
        <v>0</v>
      </c>
      <c r="O76" s="2"/>
      <c r="P76" s="2"/>
      <c r="Q76" s="2" t="str" cm="1">
        <f t="array" ref="Q76">_xlfn.IFS(P76="SI","RENOVADA",P76="","PENDIENTE",P76="NO","NO RENOVADA")</f>
        <v>PENDIENTE</v>
      </c>
      <c r="R76" s="27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">
      <c r="A77" s="1"/>
      <c r="B77" s="12"/>
      <c r="C77" s="12">
        <f t="shared" ca="1" si="8"/>
        <v>46100</v>
      </c>
      <c r="D77" s="12" t="str">
        <f t="shared" ca="1" si="9"/>
        <v>SI</v>
      </c>
      <c r="E77" s="2"/>
      <c r="F77" s="3"/>
      <c r="G77" s="2"/>
      <c r="H77" s="3"/>
      <c r="I77" s="2"/>
      <c r="J77" s="2"/>
      <c r="K77" s="30"/>
      <c r="L77" s="32"/>
      <c r="M77" s="22"/>
      <c r="N77" s="2">
        <f t="shared" si="10"/>
        <v>0</v>
      </c>
      <c r="O77" s="2"/>
      <c r="P77" s="2"/>
      <c r="Q77" s="2" t="str" cm="1">
        <f t="array" ref="Q77">_xlfn.IFS(P77="SI","RENOVADA",P77="","PENDIENTE",P77="NO","NO RENOVADA")</f>
        <v>PENDIENTE</v>
      </c>
      <c r="R77" s="2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">
      <c r="A78" s="1"/>
      <c r="B78" s="12"/>
      <c r="C78" s="12">
        <f t="shared" ca="1" si="8"/>
        <v>46100</v>
      </c>
      <c r="D78" s="12" t="str">
        <f t="shared" ca="1" si="9"/>
        <v>SI</v>
      </c>
      <c r="E78" s="2"/>
      <c r="F78" s="3"/>
      <c r="G78" s="2"/>
      <c r="H78" s="3"/>
      <c r="I78" s="2"/>
      <c r="J78" s="2"/>
      <c r="K78" s="30"/>
      <c r="L78" s="32"/>
      <c r="M78" s="22"/>
      <c r="N78" s="2">
        <f t="shared" si="10"/>
        <v>0</v>
      </c>
      <c r="O78" s="2"/>
      <c r="P78" s="2"/>
      <c r="Q78" s="2" t="str" cm="1">
        <f t="array" ref="Q78">_xlfn.IFS(P78="SI","RENOVADA",P78="","PENDIENTE",P78="NO","NO RENOVADA")</f>
        <v>PENDIENTE</v>
      </c>
      <c r="R78" s="2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">
      <c r="A79" s="1"/>
      <c r="B79" s="12"/>
      <c r="C79" s="12">
        <f t="shared" ca="1" si="8"/>
        <v>46100</v>
      </c>
      <c r="D79" s="12" t="str">
        <f t="shared" ca="1" si="9"/>
        <v>SI</v>
      </c>
      <c r="E79" s="2"/>
      <c r="F79" s="3"/>
      <c r="G79" s="2"/>
      <c r="H79" s="3"/>
      <c r="I79" s="2"/>
      <c r="J79" s="2"/>
      <c r="K79" s="30"/>
      <c r="L79" s="32"/>
      <c r="M79" s="22"/>
      <c r="N79" s="2">
        <f t="shared" si="10"/>
        <v>0</v>
      </c>
      <c r="O79" s="2"/>
      <c r="P79" s="2"/>
      <c r="Q79" s="2" t="str" cm="1">
        <f t="array" ref="Q79">_xlfn.IFS(P79="SI","RENOVADA",P79="","PENDIENTE",P79="NO","NO RENOVADA")</f>
        <v>PENDIENTE</v>
      </c>
      <c r="R79" s="2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">
      <c r="A80" s="1"/>
      <c r="B80" s="12"/>
      <c r="C80" s="12">
        <f t="shared" ca="1" si="8"/>
        <v>46100</v>
      </c>
      <c r="D80" s="12" t="str">
        <f t="shared" ca="1" si="9"/>
        <v>SI</v>
      </c>
      <c r="E80" s="2"/>
      <c r="F80" s="3"/>
      <c r="G80" s="2"/>
      <c r="H80" s="2"/>
      <c r="I80" s="2"/>
      <c r="J80" s="2"/>
      <c r="K80" s="30"/>
      <c r="L80" s="32"/>
      <c r="M80" s="22"/>
      <c r="N80" s="2">
        <f t="shared" si="10"/>
        <v>0</v>
      </c>
      <c r="O80" s="2"/>
      <c r="P80" s="2"/>
      <c r="Q80" s="2" t="str" cm="1">
        <f t="array" ref="Q80">_xlfn.IFS(P80="SI","RENOVADA",P80="","PENDIENTE",P80="NO","NO RENOVADA")</f>
        <v>PENDIENTE</v>
      </c>
      <c r="R80" s="2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">
      <c r="A81" s="1"/>
      <c r="B81" s="12"/>
      <c r="C81" s="12">
        <f t="shared" ca="1" si="8"/>
        <v>46100</v>
      </c>
      <c r="D81" s="12" t="str">
        <f t="shared" ca="1" si="9"/>
        <v>SI</v>
      </c>
      <c r="E81" s="2"/>
      <c r="F81" s="3"/>
      <c r="G81" s="2"/>
      <c r="H81" s="3"/>
      <c r="I81" s="2"/>
      <c r="J81" s="2"/>
      <c r="K81" s="30"/>
      <c r="L81" s="32"/>
      <c r="M81" s="22"/>
      <c r="N81" s="2">
        <f t="shared" si="10"/>
        <v>0</v>
      </c>
      <c r="O81" s="2"/>
      <c r="P81" s="2"/>
      <c r="Q81" s="2" t="str" cm="1">
        <f t="array" ref="Q81">_xlfn.IFS(P81="SI","RENOVADA",P81="","PENDIENTE",P81="NO","NO RENOVADA")</f>
        <v>PENDIENTE</v>
      </c>
      <c r="R81" s="2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">
      <c r="A82" s="1"/>
      <c r="B82" s="12"/>
      <c r="C82" s="12">
        <f t="shared" ca="1" si="8"/>
        <v>46100</v>
      </c>
      <c r="D82" s="12" t="str">
        <f t="shared" ca="1" si="9"/>
        <v>SI</v>
      </c>
      <c r="E82" s="2"/>
      <c r="F82" s="3"/>
      <c r="G82" s="2"/>
      <c r="H82" s="3"/>
      <c r="I82" s="2"/>
      <c r="J82" s="2"/>
      <c r="K82" s="30"/>
      <c r="L82" s="32"/>
      <c r="M82" s="22"/>
      <c r="N82" s="2">
        <f t="shared" si="10"/>
        <v>0</v>
      </c>
      <c r="O82" s="2"/>
      <c r="P82" s="2"/>
      <c r="Q82" s="2" t="str" cm="1">
        <f t="array" ref="Q82">_xlfn.IFS(P82="SI","RENOVADA",P82="","PENDIENTE",P82="NO","NO RENOVADA")</f>
        <v>PENDIENTE</v>
      </c>
      <c r="R82" s="2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">
      <c r="A83" s="1"/>
      <c r="B83" s="12"/>
      <c r="C83" s="12">
        <f t="shared" ca="1" si="8"/>
        <v>46100</v>
      </c>
      <c r="D83" s="12" t="str">
        <f t="shared" ca="1" si="9"/>
        <v>SI</v>
      </c>
      <c r="E83" s="2"/>
      <c r="F83" s="3"/>
      <c r="G83" s="2"/>
      <c r="H83" s="2"/>
      <c r="I83" s="2"/>
      <c r="J83" s="2"/>
      <c r="K83" s="30"/>
      <c r="L83" s="32"/>
      <c r="M83" s="22"/>
      <c r="N83" s="2">
        <f t="shared" si="10"/>
        <v>0</v>
      </c>
      <c r="O83" s="2"/>
      <c r="P83" s="2"/>
      <c r="Q83" s="2" t="str" cm="1">
        <f t="array" ref="Q83">_xlfn.IFS(P83="SI","RENOVADA",P83="","PENDIENTE",P83="NO","NO RENOVADA")</f>
        <v>PENDIENTE</v>
      </c>
      <c r="R83" s="2"/>
    </row>
    <row r="84" spans="1:28" ht="15.75" customHeight="1" x14ac:dyDescent="0.2">
      <c r="A84" s="1"/>
      <c r="B84" s="12"/>
      <c r="C84" s="12">
        <f t="shared" ca="1" si="8"/>
        <v>46100</v>
      </c>
      <c r="D84" s="12" t="str">
        <f t="shared" ca="1" si="9"/>
        <v>SI</v>
      </c>
      <c r="E84" s="2"/>
      <c r="F84" s="3"/>
      <c r="G84" s="2"/>
      <c r="H84" s="3"/>
      <c r="I84" s="2"/>
      <c r="J84" s="2"/>
      <c r="K84" s="30"/>
      <c r="L84" s="32"/>
      <c r="M84" s="40"/>
      <c r="N84" s="2">
        <f t="shared" si="10"/>
        <v>0</v>
      </c>
      <c r="O84" s="2"/>
      <c r="P84" s="2"/>
      <c r="Q84" s="2" t="str" cm="1">
        <f t="array" ref="Q84">_xlfn.IFS(P84="SI","RENOVADA",P84="","PENDIENTE",P84="NO","NO RENOVADA")</f>
        <v>PENDIENTE</v>
      </c>
      <c r="R84" s="2"/>
    </row>
    <row r="85" spans="1:28" ht="15.75" customHeight="1" x14ac:dyDescent="0.2">
      <c r="A85" s="1"/>
      <c r="B85" s="12"/>
      <c r="C85" s="12">
        <f t="shared" ca="1" si="8"/>
        <v>46100</v>
      </c>
      <c r="D85" s="12" t="str">
        <f t="shared" ca="1" si="9"/>
        <v>SI</v>
      </c>
      <c r="E85" s="2"/>
      <c r="F85" s="3"/>
      <c r="G85" s="2"/>
      <c r="H85" s="3"/>
      <c r="I85" s="2"/>
      <c r="J85" s="2"/>
      <c r="K85" s="30"/>
      <c r="L85" s="32"/>
      <c r="M85" s="22"/>
      <c r="N85" s="2">
        <f t="shared" si="10"/>
        <v>0</v>
      </c>
      <c r="O85" s="2"/>
      <c r="P85" s="2"/>
      <c r="Q85" s="2" t="str" cm="1">
        <f t="array" ref="Q85">_xlfn.IFS(P85="SI","RENOVADA",P85="","PENDIENTE",P85="NO","NO RENOVADA")</f>
        <v>PENDIENTE</v>
      </c>
      <c r="R85" s="2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">
      <c r="A86" s="1"/>
      <c r="B86" s="12"/>
      <c r="C86" s="12">
        <f t="shared" ca="1" si="8"/>
        <v>46100</v>
      </c>
      <c r="D86" s="12" t="str">
        <f t="shared" ca="1" si="9"/>
        <v>SI</v>
      </c>
      <c r="E86" s="2"/>
      <c r="F86" s="3"/>
      <c r="G86" s="2"/>
      <c r="H86" s="3"/>
      <c r="I86" s="2"/>
      <c r="J86" s="2"/>
      <c r="K86" s="30"/>
      <c r="L86" s="32"/>
      <c r="M86" s="22"/>
      <c r="N86" s="2">
        <f t="shared" si="10"/>
        <v>0</v>
      </c>
      <c r="O86" s="2"/>
      <c r="P86" s="2"/>
      <c r="Q86" s="2" t="str" cm="1">
        <f t="array" ref="Q86">_xlfn.IFS(P86="SI","RENOVADA",P86="","PENDIENTE",P86="NO","NO RENOVADA")</f>
        <v>PENDIENTE</v>
      </c>
      <c r="R86" s="2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">
      <c r="A87" s="1"/>
      <c r="B87" s="12"/>
      <c r="C87" s="12">
        <f t="shared" ca="1" si="8"/>
        <v>46100</v>
      </c>
      <c r="D87" s="12" t="str">
        <f t="shared" ca="1" si="9"/>
        <v>SI</v>
      </c>
      <c r="E87" s="2"/>
      <c r="F87" s="3"/>
      <c r="G87" s="2"/>
      <c r="H87" s="3"/>
      <c r="I87" s="2"/>
      <c r="J87" s="2"/>
      <c r="K87" s="30"/>
      <c r="L87" s="32"/>
      <c r="M87" s="22"/>
      <c r="N87" s="2">
        <f t="shared" si="10"/>
        <v>0</v>
      </c>
      <c r="O87" s="2"/>
      <c r="P87" s="2"/>
      <c r="Q87" s="2" t="str" cm="1">
        <f t="array" ref="Q87">_xlfn.IFS(P87="SI","RENOVADA",P87="","PENDIENTE",P87="NO","NO RENOVADA")</f>
        <v>PENDIENTE</v>
      </c>
      <c r="R87" s="2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">
      <c r="A88" s="1"/>
      <c r="B88" s="26"/>
      <c r="C88" s="12">
        <f t="shared" ca="1" si="8"/>
        <v>46100</v>
      </c>
      <c r="D88" s="12" t="str">
        <f t="shared" ca="1" si="9"/>
        <v>SI</v>
      </c>
      <c r="E88" s="27"/>
      <c r="F88" s="27"/>
      <c r="G88" s="27"/>
      <c r="H88" s="27"/>
      <c r="I88" s="27"/>
      <c r="J88" s="27"/>
      <c r="K88" s="31"/>
      <c r="L88" s="33"/>
      <c r="M88" s="24"/>
      <c r="N88" s="2">
        <f t="shared" si="10"/>
        <v>0</v>
      </c>
      <c r="O88" s="2"/>
      <c r="P88" s="2"/>
      <c r="Q88" s="2" t="str" cm="1">
        <f t="array" ref="Q88">_xlfn.IFS(P88="SI","RENOVADA",P88="","PENDIENTE",P88="NO","NO RENOVADA")</f>
        <v>PENDIENTE</v>
      </c>
      <c r="R88" s="27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">
      <c r="A89" s="1"/>
      <c r="B89" s="26"/>
      <c r="C89" s="12">
        <f t="shared" ca="1" si="8"/>
        <v>46100</v>
      </c>
      <c r="D89" s="12" t="str">
        <f t="shared" ca="1" si="9"/>
        <v>SI</v>
      </c>
      <c r="E89" s="27"/>
      <c r="F89" s="27"/>
      <c r="G89" s="27"/>
      <c r="H89" s="27"/>
      <c r="I89" s="27"/>
      <c r="J89" s="27"/>
      <c r="K89" s="31"/>
      <c r="L89" s="33"/>
      <c r="M89" s="24"/>
      <c r="N89" s="2">
        <f t="shared" si="10"/>
        <v>0</v>
      </c>
      <c r="O89" s="2"/>
      <c r="P89" s="2"/>
      <c r="Q89" s="2" t="str" cm="1">
        <f t="array" ref="Q89">_xlfn.IFS(P89="SI","RENOVADA",P89="","PENDIENTE",P89="NO","NO RENOVADA")</f>
        <v>PENDIENTE</v>
      </c>
      <c r="R89" s="27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">
      <c r="A90" s="1"/>
      <c r="B90" s="12"/>
      <c r="C90" s="12">
        <f t="shared" ca="1" si="8"/>
        <v>46100</v>
      </c>
      <c r="D90" s="12" t="str">
        <f t="shared" ca="1" si="9"/>
        <v>SI</v>
      </c>
      <c r="E90" s="2"/>
      <c r="F90" s="3"/>
      <c r="G90" s="2"/>
      <c r="H90" s="3"/>
      <c r="I90" s="2"/>
      <c r="J90" s="2"/>
      <c r="K90" s="30"/>
      <c r="L90" s="32"/>
      <c r="M90" s="22"/>
      <c r="N90" s="2">
        <f t="shared" si="10"/>
        <v>0</v>
      </c>
      <c r="O90" s="2"/>
      <c r="P90" s="2"/>
      <c r="Q90" s="2" t="str" cm="1">
        <f t="array" ref="Q90">_xlfn.IFS(P90="SI","RENOVADA",P90="","PENDIENTE",P90="NO","NO RENOVADA")</f>
        <v>PENDIENTE</v>
      </c>
      <c r="R90" s="2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">
      <c r="A91" s="1"/>
      <c r="B91" s="12"/>
      <c r="C91" s="12">
        <f t="shared" ca="1" si="8"/>
        <v>46100</v>
      </c>
      <c r="D91" s="12" t="str">
        <f t="shared" ca="1" si="9"/>
        <v>SI</v>
      </c>
      <c r="E91" s="2"/>
      <c r="F91" s="3"/>
      <c r="G91" s="2"/>
      <c r="H91" s="2"/>
      <c r="I91" s="2"/>
      <c r="J91" s="2"/>
      <c r="K91" s="30"/>
      <c r="L91" s="32"/>
      <c r="M91" s="22"/>
      <c r="N91" s="2">
        <f t="shared" si="10"/>
        <v>0</v>
      </c>
      <c r="O91" s="2"/>
      <c r="P91" s="2"/>
      <c r="Q91" s="2" t="str" cm="1">
        <f t="array" ref="Q91">_xlfn.IFS(P91="SI","RENOVADA",P91="","PENDIENTE",P91="NO","NO RENOVADA")</f>
        <v>PENDIENTE</v>
      </c>
      <c r="R91" s="2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">
      <c r="A92" s="1"/>
      <c r="B92" s="12"/>
      <c r="C92" s="12">
        <f t="shared" ca="1" si="8"/>
        <v>46100</v>
      </c>
      <c r="D92" s="12" t="str">
        <f t="shared" ca="1" si="9"/>
        <v>SI</v>
      </c>
      <c r="E92" s="2"/>
      <c r="F92" s="3"/>
      <c r="G92" s="2"/>
      <c r="H92" s="2"/>
      <c r="I92" s="2"/>
      <c r="J92" s="2"/>
      <c r="K92" s="30"/>
      <c r="L92" s="32"/>
      <c r="M92" s="22"/>
      <c r="N92" s="2">
        <f t="shared" si="10"/>
        <v>0</v>
      </c>
      <c r="O92" s="2"/>
      <c r="P92" s="2"/>
      <c r="Q92" s="2" t="str" cm="1">
        <f t="array" ref="Q92">_xlfn.IFS(P92="SI","RENOVADA",P92="","PENDIENTE",P92="NO","NO RENOVADA")</f>
        <v>PENDIENTE</v>
      </c>
      <c r="R92" s="2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">
      <c r="A93" s="1"/>
      <c r="B93" s="12"/>
      <c r="C93" s="12">
        <f t="shared" ca="1" si="8"/>
        <v>46100</v>
      </c>
      <c r="D93" s="12" t="str">
        <f t="shared" ca="1" si="9"/>
        <v>SI</v>
      </c>
      <c r="E93" s="2"/>
      <c r="F93" s="3"/>
      <c r="G93" s="2"/>
      <c r="H93" s="3"/>
      <c r="I93" s="2"/>
      <c r="J93" s="2"/>
      <c r="K93" s="30"/>
      <c r="L93" s="32"/>
      <c r="M93" s="22"/>
      <c r="N93" s="2">
        <f t="shared" si="10"/>
        <v>0</v>
      </c>
      <c r="O93" s="2"/>
      <c r="P93" s="2"/>
      <c r="Q93" s="2" t="str" cm="1">
        <f t="array" ref="Q93">_xlfn.IFS(P93="SI","RENOVADA",P93="","PENDIENTE",P93="NO","NO RENOVADA")</f>
        <v>PENDIENTE</v>
      </c>
      <c r="R93" s="2"/>
    </row>
    <row r="94" spans="1:28" ht="15.75" customHeight="1" x14ac:dyDescent="0.2">
      <c r="A94" s="1"/>
      <c r="B94" s="12"/>
      <c r="C94" s="12">
        <f t="shared" ca="1" si="8"/>
        <v>46100</v>
      </c>
      <c r="D94" s="12" t="str">
        <f t="shared" ca="1" si="9"/>
        <v>SI</v>
      </c>
      <c r="E94" s="2"/>
      <c r="F94" s="3"/>
      <c r="G94" s="2"/>
      <c r="H94" s="3"/>
      <c r="I94" s="2"/>
      <c r="J94" s="2"/>
      <c r="K94" s="30"/>
      <c r="L94" s="32"/>
      <c r="M94" s="22"/>
      <c r="N94" s="2">
        <f t="shared" si="10"/>
        <v>0</v>
      </c>
      <c r="O94" s="2"/>
      <c r="P94" s="2"/>
      <c r="Q94" s="2" t="str" cm="1">
        <f t="array" ref="Q94">_xlfn.IFS(P94="SI","RENOVADA",P94="","PENDIENTE",P94="NO","NO RENOVADA")</f>
        <v>PENDIENTE</v>
      </c>
      <c r="R94" s="2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">
      <c r="A95" s="1"/>
      <c r="B95" s="12"/>
      <c r="C95" s="12">
        <f t="shared" ca="1" si="8"/>
        <v>46100</v>
      </c>
      <c r="D95" s="12" t="str">
        <f t="shared" ca="1" si="9"/>
        <v>SI</v>
      </c>
      <c r="E95" s="2"/>
      <c r="F95" s="3"/>
      <c r="G95" s="2"/>
      <c r="H95" s="3"/>
      <c r="I95" s="2"/>
      <c r="J95" s="2"/>
      <c r="K95" s="30"/>
      <c r="L95" s="32"/>
      <c r="M95" s="22"/>
      <c r="N95" s="2">
        <f t="shared" si="10"/>
        <v>0</v>
      </c>
      <c r="O95" s="2"/>
      <c r="P95" s="2"/>
      <c r="Q95" s="2" t="str" cm="1">
        <f t="array" ref="Q95">_xlfn.IFS(P95="SI","RENOVADA",P95="","PENDIENTE",P95="NO","NO RENOVADA")</f>
        <v>PENDIENTE</v>
      </c>
      <c r="R95" s="2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">
      <c r="A96" s="1"/>
      <c r="B96" s="12"/>
      <c r="C96" s="12">
        <f t="shared" ca="1" si="8"/>
        <v>46100</v>
      </c>
      <c r="D96" s="12" t="str">
        <f t="shared" ca="1" si="9"/>
        <v>SI</v>
      </c>
      <c r="E96" s="2"/>
      <c r="F96" s="3"/>
      <c r="G96" s="2"/>
      <c r="H96" s="3"/>
      <c r="I96" s="2"/>
      <c r="J96" s="2"/>
      <c r="K96" s="30"/>
      <c r="L96" s="32"/>
      <c r="M96" s="22"/>
      <c r="N96" s="2">
        <f t="shared" si="10"/>
        <v>0</v>
      </c>
      <c r="O96" s="2"/>
      <c r="P96" s="2"/>
      <c r="Q96" s="2" t="str" cm="1">
        <f t="array" ref="Q96">_xlfn.IFS(P96="SI","RENOVADA",P96="","PENDIENTE",P96="NO","NO RENOVADA")</f>
        <v>PENDIENTE</v>
      </c>
      <c r="R96" s="2"/>
    </row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</sheetData>
  <conditionalFormatting sqref="P2:P96">
    <cfRule type="cellIs" dxfId="0" priority="2" operator="equal">
      <formula>$S$1</formula>
    </cfRule>
  </conditionalFormatting>
  <pageMargins left="0" right="0" top="0" bottom="0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EC64627F-795B-473E-AB59-691654FAFDEF}">
            <xm:f>CONTROL!$M$3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D2:D96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533046-e532-45be-a8ea-36b27bc02ccb" xsi:nil="true"/>
    <lcf76f155ced4ddcb4097134ff3c332f xmlns="b7570e5e-3f22-41b2-ae08-1623207c0b6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31A51073AD6A47B7F90471D9CF7BA3" ma:contentTypeVersion="11" ma:contentTypeDescription="Crear nuevo documento." ma:contentTypeScope="" ma:versionID="14a2efd443c160b2aed5c39a04732915">
  <xsd:schema xmlns:xsd="http://www.w3.org/2001/XMLSchema" xmlns:xs="http://www.w3.org/2001/XMLSchema" xmlns:p="http://schemas.microsoft.com/office/2006/metadata/properties" xmlns:ns2="b7570e5e-3f22-41b2-ae08-1623207c0b63" xmlns:ns3="7d533046-e532-45be-a8ea-36b27bc02ccb" targetNamespace="http://schemas.microsoft.com/office/2006/metadata/properties" ma:root="true" ma:fieldsID="a677034ab51bfe03f2169052d7a0c5c2" ns2:_="" ns3:_="">
    <xsd:import namespace="b7570e5e-3f22-41b2-ae08-1623207c0b63"/>
    <xsd:import namespace="7d533046-e532-45be-a8ea-36b27bc02c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70e5e-3f22-41b2-ae08-1623207c0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7dde9ff-49b2-40a7-a603-b458d498f8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33046-e532-45be-a8ea-36b27bc02cc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65f343-98c9-449e-867d-865876d67b54}" ma:internalName="TaxCatchAll" ma:showField="CatchAllData" ma:web="7d533046-e532-45be-a8ea-36b27bc02c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B356A5-287E-402E-83B2-6742F5925E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C0B48F-9115-42C9-BEB0-CA4BAB283AD1}">
  <ds:schemaRefs>
    <ds:schemaRef ds:uri="http://schemas.microsoft.com/office/2006/metadata/properties"/>
    <ds:schemaRef ds:uri="http://schemas.microsoft.com/office/infopath/2007/PartnerControls"/>
    <ds:schemaRef ds:uri="7d533046-e532-45be-a8ea-36b27bc02ccb"/>
    <ds:schemaRef ds:uri="b7570e5e-3f22-41b2-ae08-1623207c0b63"/>
  </ds:schemaRefs>
</ds:datastoreItem>
</file>

<file path=customXml/itemProps3.xml><?xml version="1.0" encoding="utf-8"?>
<ds:datastoreItem xmlns:ds="http://schemas.openxmlformats.org/officeDocument/2006/customXml" ds:itemID="{88599581-79CC-4450-B254-A011076D3C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570e5e-3f22-41b2-ae08-1623207c0b63"/>
    <ds:schemaRef ds:uri="7d533046-e532-45be-a8ea-36b27bc02c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</vt:lpstr>
      <vt:lpstr>CONCENTRADO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Montserrat Rodriguez Juarez</cp:lastModifiedBy>
  <cp:revision/>
  <dcterms:created xsi:type="dcterms:W3CDTF">2025-02-05T18:52:58Z</dcterms:created>
  <dcterms:modified xsi:type="dcterms:W3CDTF">2026-03-20T00:45:30Z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0x010100B231A51073AD6A47B7F90471D9CF7BA3</vt:lpwstr>
  </property>
  <property fmtid="{D5CDD505-2E9C-101B-9397-08002B2CF9AE}" pid="3" name="MediaServiceImageTags">
    <vt:lpwstr/>
  </property>
  <property fmtid="{D5CDD505-2E9C-101B-9397-08002B2CF9AE}" pid="4" name="KriptosClassAi">
    <vt:lpwstr>1-Uso Interno</vt:lpwstr>
  </property>
</Properties>
</file>